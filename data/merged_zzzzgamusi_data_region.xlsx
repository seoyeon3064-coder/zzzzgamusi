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uman\Downloads\"/>
    </mc:Choice>
  </mc:AlternateContent>
  <bookViews>
    <workbookView xWindow="0" yWindow="0" windowWidth="14370" windowHeight="9825"/>
  </bookViews>
  <sheets>
    <sheet name="merged_zzzzgamusi_data" sheetId="1" r:id="rId1"/>
  </sheets>
  <calcPr calcId="162913"/>
  <extLst>
    <ext uri="GoogleSheetsCustomDataVersion2">
      <go:sheetsCustomData xmlns:go="http://customooxmlschemas.google.com/" r:id="rId5" roundtripDataChecksum="gZ5dVWzo8i8hTWfQFZh/5jAxVhYHNPiDCh/Y4jhTyxQ="/>
    </ext>
  </extLst>
</workbook>
</file>

<file path=xl/calcChain.xml><?xml version="1.0" encoding="utf-8"?>
<calcChain xmlns="http://schemas.openxmlformats.org/spreadsheetml/2006/main">
  <c r="BD199" i="1" l="1"/>
  <c r="BD188" i="1"/>
  <c r="BD177" i="1"/>
  <c r="BD166" i="1"/>
  <c r="BD155" i="1"/>
  <c r="BD144" i="1"/>
  <c r="BD133" i="1"/>
  <c r="BD122" i="1"/>
  <c r="BD111" i="1"/>
  <c r="BD100" i="1"/>
  <c r="BD89" i="1"/>
  <c r="BD67" i="1"/>
  <c r="BD78" i="1"/>
  <c r="BD56" i="1"/>
  <c r="BD45" i="1"/>
  <c r="BD34" i="1"/>
  <c r="BD23" i="1"/>
  <c r="BD12" i="1"/>
  <c r="BC12" i="1" s="1"/>
  <c r="BB23" i="1"/>
  <c r="AX23" i="1"/>
  <c r="AT23" i="1"/>
  <c r="AP23" i="1"/>
  <c r="AP34" i="1" s="1"/>
  <c r="AL23" i="1"/>
  <c r="AH23" i="1"/>
  <c r="AD23" i="1"/>
  <c r="Z23" i="1"/>
  <c r="V23" i="1"/>
  <c r="R23" i="1"/>
  <c r="R34" i="1" s="1"/>
  <c r="N23" i="1"/>
  <c r="J23" i="1"/>
  <c r="F23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N23" i="1" s="1"/>
  <c r="AM12" i="1"/>
  <c r="AL12" i="1"/>
  <c r="AK12" i="1"/>
  <c r="AJ12" i="1"/>
  <c r="AI12" i="1"/>
  <c r="AH12" i="1"/>
  <c r="AG12" i="1"/>
  <c r="AF12" i="1"/>
  <c r="AE12" i="1"/>
  <c r="AE23" i="1" s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P23" i="1" s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R45" i="1" l="1"/>
  <c r="W23" i="1"/>
  <c r="AU23" i="1"/>
  <c r="I23" i="1"/>
  <c r="Q23" i="1"/>
  <c r="Y23" i="1"/>
  <c r="AG23" i="1"/>
  <c r="AO23" i="1"/>
  <c r="AW23" i="1"/>
  <c r="R56" i="1"/>
  <c r="K23" i="1"/>
  <c r="AI23" i="1"/>
  <c r="AQ23" i="1"/>
  <c r="F34" i="1"/>
  <c r="N34" i="1"/>
  <c r="V34" i="1"/>
  <c r="AD34" i="1"/>
  <c r="AL34" i="1"/>
  <c r="AT34" i="1"/>
  <c r="BB34" i="1"/>
  <c r="S23" i="1"/>
  <c r="AY23" i="1"/>
  <c r="D23" i="1"/>
  <c r="L23" i="1"/>
  <c r="T23" i="1"/>
  <c r="AB23" i="1"/>
  <c r="AJ23" i="1"/>
  <c r="AR23" i="1"/>
  <c r="AZ23" i="1"/>
  <c r="O34" i="1"/>
  <c r="W34" i="1"/>
  <c r="W45" i="1" s="1"/>
  <c r="AE34" i="1"/>
  <c r="AE45" i="1" s="1"/>
  <c r="AU34" i="1"/>
  <c r="AP45" i="1"/>
  <c r="C23" i="1"/>
  <c r="C45" i="1" s="1"/>
  <c r="AA23" i="1"/>
  <c r="E23" i="1"/>
  <c r="M23" i="1"/>
  <c r="U23" i="1"/>
  <c r="AC23" i="1"/>
  <c r="AK23" i="1"/>
  <c r="AS23" i="1"/>
  <c r="BA23" i="1"/>
  <c r="P34" i="1"/>
  <c r="P45" i="1" s="1"/>
  <c r="AN34" i="1"/>
  <c r="AD56" i="1"/>
  <c r="O23" i="1"/>
  <c r="BC23" i="1"/>
  <c r="Z34" i="1"/>
  <c r="AX34" i="1"/>
  <c r="G23" i="1"/>
  <c r="AM23" i="1"/>
  <c r="AM34" i="1" s="1"/>
  <c r="J34" i="1"/>
  <c r="J45" i="1" s="1"/>
  <c r="AH34" i="1"/>
  <c r="H23" i="1"/>
  <c r="X23" i="1"/>
  <c r="AF23" i="1"/>
  <c r="AV23" i="1"/>
  <c r="C34" i="1"/>
  <c r="K34" i="1"/>
  <c r="S34" i="1"/>
  <c r="S45" i="1" s="1"/>
  <c r="AA34" i="1"/>
  <c r="AI34" i="1"/>
  <c r="AY34" i="1"/>
  <c r="F45" i="1"/>
  <c r="N45" i="1"/>
  <c r="AD45" i="1"/>
  <c r="AL45" i="1"/>
  <c r="AT45" i="1"/>
  <c r="BB45" i="1"/>
  <c r="AD67" i="1"/>
  <c r="G34" i="1" l="1"/>
  <c r="H45" i="1"/>
  <c r="H34" i="1"/>
  <c r="AP67" i="1"/>
  <c r="AP56" i="1"/>
  <c r="AE56" i="1"/>
  <c r="AE78" i="1" s="1"/>
  <c r="S67" i="1"/>
  <c r="S56" i="1"/>
  <c r="H56" i="1"/>
  <c r="AV45" i="1"/>
  <c r="AV34" i="1"/>
  <c r="AV56" i="1" s="1"/>
  <c r="AZ34" i="1"/>
  <c r="AT56" i="1"/>
  <c r="AT67" i="1"/>
  <c r="P56" i="1"/>
  <c r="AD78" i="1"/>
  <c r="W56" i="1"/>
  <c r="C56" i="1"/>
  <c r="U34" i="1"/>
  <c r="U45" i="1" s="1"/>
  <c r="N67" i="1"/>
  <c r="N56" i="1"/>
  <c r="F56" i="1"/>
  <c r="AM45" i="1"/>
  <c r="AE67" i="1"/>
  <c r="AF34" i="1"/>
  <c r="AY45" i="1"/>
  <c r="AI45" i="1"/>
  <c r="AO34" i="1"/>
  <c r="AQ34" i="1"/>
  <c r="X34" i="1"/>
  <c r="X45" i="1" s="1"/>
  <c r="M45" i="1"/>
  <c r="M34" i="1"/>
  <c r="AH45" i="1"/>
  <c r="W67" i="1"/>
  <c r="J56" i="1"/>
  <c r="AR34" i="1"/>
  <c r="AG34" i="1"/>
  <c r="E34" i="1"/>
  <c r="P78" i="1"/>
  <c r="BC34" i="1"/>
  <c r="R67" i="1"/>
  <c r="AJ34" i="1"/>
  <c r="Y34" i="1"/>
  <c r="P67" i="1"/>
  <c r="AM56" i="1"/>
  <c r="AA45" i="1"/>
  <c r="AB34" i="1"/>
  <c r="Q34" i="1"/>
  <c r="Q45" i="1"/>
  <c r="W78" i="1"/>
  <c r="AB45" i="1"/>
  <c r="BB56" i="1"/>
  <c r="BA45" i="1"/>
  <c r="BA34" i="1"/>
  <c r="R78" i="1"/>
  <c r="T34" i="1"/>
  <c r="I34" i="1"/>
  <c r="AX45" i="1"/>
  <c r="AU45" i="1"/>
  <c r="AO45" i="1"/>
  <c r="V45" i="1"/>
  <c r="S78" i="1"/>
  <c r="AU56" i="1"/>
  <c r="K45" i="1"/>
  <c r="AS45" i="1"/>
  <c r="AS34" i="1"/>
  <c r="P89" i="1"/>
  <c r="P100" i="1" s="1"/>
  <c r="AI56" i="1"/>
  <c r="AA56" i="1"/>
  <c r="L34" i="1"/>
  <c r="AG45" i="1"/>
  <c r="AL56" i="1"/>
  <c r="AK45" i="1"/>
  <c r="AK34" i="1"/>
  <c r="R89" i="1"/>
  <c r="R100" i="1" s="1"/>
  <c r="AH56" i="1"/>
  <c r="O45" i="1"/>
  <c r="D34" i="1"/>
  <c r="AD89" i="1"/>
  <c r="AD100" i="1" s="1"/>
  <c r="AC34" i="1"/>
  <c r="AB56" i="1"/>
  <c r="AW34" i="1"/>
  <c r="Z45" i="1"/>
  <c r="AN45" i="1"/>
  <c r="AQ45" i="1"/>
  <c r="AQ56" i="1" s="1"/>
  <c r="AD122" i="1" l="1"/>
  <c r="AD111" i="1"/>
  <c r="R111" i="1"/>
  <c r="R166" i="1" s="1"/>
  <c r="L45" i="1"/>
  <c r="L56" i="1" s="1"/>
  <c r="AO56" i="1"/>
  <c r="AU67" i="1"/>
  <c r="AK56" i="1"/>
  <c r="Q56" i="1"/>
  <c r="AL67" i="1"/>
  <c r="M56" i="1"/>
  <c r="N78" i="1"/>
  <c r="U56" i="1"/>
  <c r="BB67" i="1"/>
  <c r="K56" i="1"/>
  <c r="I45" i="1"/>
  <c r="I56" i="1"/>
  <c r="AJ45" i="1"/>
  <c r="AG56" i="1"/>
  <c r="AP78" i="1"/>
  <c r="BC45" i="1"/>
  <c r="G45" i="1"/>
  <c r="AL78" i="1"/>
  <c r="R122" i="1"/>
  <c r="AA78" i="1"/>
  <c r="AQ67" i="1"/>
  <c r="AQ78" i="1"/>
  <c r="AI67" i="1"/>
  <c r="J67" i="1"/>
  <c r="AZ45" i="1"/>
  <c r="AZ56" i="1" s="1"/>
  <c r="AE89" i="1"/>
  <c r="V56" i="1"/>
  <c r="T45" i="1"/>
  <c r="T56" i="1" s="1"/>
  <c r="AR45" i="1"/>
  <c r="X56" i="1"/>
  <c r="C67" i="1"/>
  <c r="AP89" i="1"/>
  <c r="H67" i="1"/>
  <c r="AC45" i="1"/>
  <c r="AN67" i="1"/>
  <c r="AW45" i="1"/>
  <c r="R133" i="1"/>
  <c r="AK67" i="1"/>
  <c r="AX56" i="1"/>
  <c r="BA67" i="1"/>
  <c r="E45" i="1"/>
  <c r="C78" i="1"/>
  <c r="AT78" i="1"/>
  <c r="S89" i="1"/>
  <c r="S100" i="1" s="1"/>
  <c r="AD133" i="1"/>
  <c r="AD144" i="1" s="1"/>
  <c r="AP111" i="1"/>
  <c r="AY67" i="1"/>
  <c r="O56" i="1"/>
  <c r="AN56" i="1"/>
  <c r="P111" i="1"/>
  <c r="AH67" i="1"/>
  <c r="BA56" i="1"/>
  <c r="BA78" i="1" s="1"/>
  <c r="AM67" i="1"/>
  <c r="R155" i="1"/>
  <c r="AB67" i="1"/>
  <c r="AY56" i="1"/>
  <c r="AF45" i="1"/>
  <c r="AV67" i="1"/>
  <c r="AV78" i="1" s="1"/>
  <c r="AP100" i="1"/>
  <c r="Z56" i="1"/>
  <c r="D45" i="1"/>
  <c r="AS56" i="1"/>
  <c r="R144" i="1"/>
  <c r="R177" i="1" s="1"/>
  <c r="F67" i="1"/>
  <c r="W89" i="1"/>
  <c r="Y45" i="1"/>
  <c r="AA67" i="1"/>
  <c r="S111" i="1" l="1"/>
  <c r="T67" i="1"/>
  <c r="I78" i="1"/>
  <c r="AZ67" i="1"/>
  <c r="O78" i="1"/>
  <c r="O89" i="1" s="1"/>
  <c r="L67" i="1"/>
  <c r="X78" i="1"/>
  <c r="X100" i="1" s="1"/>
  <c r="AD166" i="1"/>
  <c r="R188" i="1"/>
  <c r="R199" i="1" s="1"/>
  <c r="AD155" i="1"/>
  <c r="AD188" i="1" s="1"/>
  <c r="AT89" i="1"/>
  <c r="AV89" i="1"/>
  <c r="X89" i="1"/>
  <c r="AB78" i="1"/>
  <c r="W100" i="1"/>
  <c r="AA100" i="1"/>
  <c r="AA89" i="1"/>
  <c r="AY78" i="1"/>
  <c r="AN78" i="1"/>
  <c r="E56" i="1"/>
  <c r="E67" i="1" s="1"/>
  <c r="G56" i="1"/>
  <c r="AP122" i="1"/>
  <c r="AU78" i="1"/>
  <c r="BB78" i="1"/>
  <c r="X67" i="1"/>
  <c r="H78" i="1"/>
  <c r="H89" i="1" s="1"/>
  <c r="V67" i="1"/>
  <c r="V78" i="1"/>
  <c r="P122" i="1"/>
  <c r="M67" i="1"/>
  <c r="Z67" i="1"/>
  <c r="O67" i="1"/>
  <c r="AD177" i="1"/>
  <c r="M78" i="1"/>
  <c r="AO67" i="1"/>
  <c r="U67" i="1"/>
  <c r="AF56" i="1"/>
  <c r="AX67" i="1"/>
  <c r="AN100" i="1"/>
  <c r="AN111" i="1" s="1"/>
  <c r="AN89" i="1"/>
  <c r="C100" i="1"/>
  <c r="C111" i="1" s="1"/>
  <c r="AM78" i="1"/>
  <c r="V89" i="1"/>
  <c r="Z78" i="1"/>
  <c r="AO78" i="1"/>
  <c r="AW56" i="1"/>
  <c r="AQ89" i="1"/>
  <c r="AJ56" i="1"/>
  <c r="K67" i="1"/>
  <c r="F78" i="1"/>
  <c r="AS67" i="1"/>
  <c r="AH89" i="1"/>
  <c r="AH78" i="1"/>
  <c r="AC56" i="1"/>
  <c r="AB89" i="1"/>
  <c r="AE100" i="1"/>
  <c r="AG67" i="1"/>
  <c r="AX78" i="1"/>
  <c r="AK78" i="1"/>
  <c r="J78" i="1"/>
  <c r="Y56" i="1"/>
  <c r="AR56" i="1"/>
  <c r="C89" i="1"/>
  <c r="AB100" i="1"/>
  <c r="N89" i="1"/>
  <c r="D56" i="1"/>
  <c r="Y67" i="1"/>
  <c r="AM89" i="1"/>
  <c r="AM100" i="1" s="1"/>
  <c r="AW67" i="1"/>
  <c r="BC56" i="1"/>
  <c r="I67" i="1"/>
  <c r="AL89" i="1"/>
  <c r="AZ78" i="1"/>
  <c r="AI78" i="1"/>
  <c r="Q67" i="1"/>
  <c r="BA89" i="1"/>
  <c r="C133" i="1" l="1"/>
  <c r="C122" i="1"/>
  <c r="H100" i="1"/>
  <c r="BC67" i="1"/>
  <c r="BA100" i="1"/>
  <c r="D67" i="1"/>
  <c r="D78" i="1"/>
  <c r="AR67" i="1"/>
  <c r="AQ100" i="1"/>
  <c r="W111" i="1"/>
  <c r="AV100" i="1"/>
  <c r="V100" i="1"/>
  <c r="AU89" i="1"/>
  <c r="D89" i="1"/>
  <c r="N100" i="1"/>
  <c r="AM111" i="1"/>
  <c r="AM122" i="1"/>
  <c r="AM144" i="1"/>
  <c r="AB111" i="1"/>
  <c r="AB144" i="1" s="1"/>
  <c r="AD199" i="1"/>
  <c r="P133" i="1"/>
  <c r="AP133" i="1"/>
  <c r="T78" i="1"/>
  <c r="Z89" i="1"/>
  <c r="W122" i="1"/>
  <c r="AZ89" i="1"/>
  <c r="Q78" i="1"/>
  <c r="I89" i="1"/>
  <c r="F89" i="1"/>
  <c r="AF67" i="1"/>
  <c r="AS78" i="1"/>
  <c r="AS89" i="1" s="1"/>
  <c r="AB122" i="1"/>
  <c r="AB133" i="1" s="1"/>
  <c r="S122" i="1"/>
  <c r="X111" i="1"/>
  <c r="U78" i="1"/>
  <c r="E78" i="1"/>
  <c r="AY89" i="1"/>
  <c r="AA111" i="1"/>
  <c r="J89" i="1"/>
  <c r="AH100" i="1"/>
  <c r="AJ67" i="1"/>
  <c r="AE111" i="1"/>
  <c r="F100" i="1"/>
  <c r="AC67" i="1"/>
  <c r="M89" i="1"/>
  <c r="AL100" i="1"/>
  <c r="AM133" i="1"/>
  <c r="AF78" i="1"/>
  <c r="AT100" i="1"/>
  <c r="AW89" i="1"/>
  <c r="AW100" i="1" s="1"/>
  <c r="AO89" i="1"/>
  <c r="AO100" i="1" s="1"/>
  <c r="BB122" i="1"/>
  <c r="BB133" i="1" s="1"/>
  <c r="BB89" i="1"/>
  <c r="BB111" i="1"/>
  <c r="BB100" i="1"/>
  <c r="BB144" i="1" s="1"/>
  <c r="E89" i="1"/>
  <c r="Z100" i="1"/>
  <c r="Z111" i="1" s="1"/>
  <c r="Z122" i="1" s="1"/>
  <c r="Z133" i="1" s="1"/>
  <c r="Z144" i="1" s="1"/>
  <c r="H111" i="1"/>
  <c r="AW78" i="1"/>
  <c r="K78" i="1"/>
  <c r="AN122" i="1"/>
  <c r="AI89" i="1"/>
  <c r="AK89" i="1"/>
  <c r="AX89" i="1"/>
  <c r="C144" i="1"/>
  <c r="Y78" i="1"/>
  <c r="F111" i="1"/>
  <c r="F122" i="1" s="1"/>
  <c r="F133" i="1" s="1"/>
  <c r="Q89" i="1"/>
  <c r="AG78" i="1"/>
  <c r="V111" i="1"/>
  <c r="O100" i="1"/>
  <c r="O111" i="1" s="1"/>
  <c r="O122" i="1" s="1"/>
  <c r="O133" i="1" s="1"/>
  <c r="E100" i="1"/>
  <c r="G67" i="1"/>
  <c r="L78" i="1"/>
  <c r="AS100" i="1" l="1"/>
  <c r="BB155" i="1"/>
  <c r="BB166" i="1" s="1"/>
  <c r="AP155" i="1"/>
  <c r="AP166" i="1" s="1"/>
  <c r="I122" i="1"/>
  <c r="I144" i="1" s="1"/>
  <c r="AB155" i="1"/>
  <c r="AB177" i="1" s="1"/>
  <c r="AB188" i="1" s="1"/>
  <c r="AK100" i="1"/>
  <c r="AK111" i="1"/>
  <c r="AG89" i="1"/>
  <c r="AW111" i="1"/>
  <c r="U100" i="1"/>
  <c r="U89" i="1"/>
  <c r="AW133" i="1"/>
  <c r="G78" i="1"/>
  <c r="BC100" i="1"/>
  <c r="I100" i="1"/>
  <c r="I111" i="1" s="1"/>
  <c r="V122" i="1"/>
  <c r="V133" i="1" s="1"/>
  <c r="V144" i="1" s="1"/>
  <c r="O166" i="1"/>
  <c r="O199" i="1" s="1"/>
  <c r="AP144" i="1"/>
  <c r="C155" i="1"/>
  <c r="C166" i="1" s="1"/>
  <c r="O144" i="1"/>
  <c r="O177" i="1" s="1"/>
  <c r="O188" i="1" s="1"/>
  <c r="S133" i="1"/>
  <c r="S155" i="1"/>
  <c r="S144" i="1"/>
  <c r="Z155" i="1"/>
  <c r="Z166" i="1" s="1"/>
  <c r="L89" i="1"/>
  <c r="AM155" i="1"/>
  <c r="AM166" i="1" s="1"/>
  <c r="BC78" i="1"/>
  <c r="AN133" i="1"/>
  <c r="AQ111" i="1"/>
  <c r="AA122" i="1"/>
  <c r="F155" i="1"/>
  <c r="F144" i="1"/>
  <c r="F166" i="1"/>
  <c r="F177" i="1" s="1"/>
  <c r="AU100" i="1"/>
  <c r="AV111" i="1"/>
  <c r="D100" i="1"/>
  <c r="O155" i="1"/>
  <c r="AE122" i="1"/>
  <c r="AJ78" i="1"/>
  <c r="AF89" i="1"/>
  <c r="Q100" i="1"/>
  <c r="W133" i="1"/>
  <c r="W144" i="1" s="1"/>
  <c r="E111" i="1"/>
  <c r="E122" i="1" s="1"/>
  <c r="AI100" i="1"/>
  <c r="AY111" i="1"/>
  <c r="AY122" i="1" s="1"/>
  <c r="AY100" i="1"/>
  <c r="AX100" i="1"/>
  <c r="AB166" i="1"/>
  <c r="BA111" i="1"/>
  <c r="AL111" i="1"/>
  <c r="AL122" i="1" s="1"/>
  <c r="AL133" i="1" s="1"/>
  <c r="AL144" i="1" s="1"/>
  <c r="AL155" i="1" s="1"/>
  <c r="Y89" i="1"/>
  <c r="AH111" i="1"/>
  <c r="AH122" i="1" s="1"/>
  <c r="AH133" i="1" s="1"/>
  <c r="AZ111" i="1"/>
  <c r="AZ122" i="1" s="1"/>
  <c r="AZ133" i="1" s="1"/>
  <c r="AZ100" i="1"/>
  <c r="BC89" i="1"/>
  <c r="BC111" i="1"/>
  <c r="BC122" i="1" s="1"/>
  <c r="AG100" i="1"/>
  <c r="AG111" i="1" s="1"/>
  <c r="AW122" i="1"/>
  <c r="H122" i="1"/>
  <c r="M111" i="1"/>
  <c r="M122" i="1" s="1"/>
  <c r="P144" i="1"/>
  <c r="P155" i="1" s="1"/>
  <c r="P166" i="1" s="1"/>
  <c r="P177" i="1" s="1"/>
  <c r="P188" i="1" s="1"/>
  <c r="P199" i="1" s="1"/>
  <c r="N111" i="1"/>
  <c r="M100" i="1"/>
  <c r="S166" i="1"/>
  <c r="S177" i="1" s="1"/>
  <c r="AR89" i="1"/>
  <c r="AR78" i="1"/>
  <c r="T89" i="1"/>
  <c r="J100" i="1"/>
  <c r="X122" i="1"/>
  <c r="K89" i="1"/>
  <c r="G89" i="1"/>
  <c r="AO111" i="1"/>
  <c r="AO122" i="1" s="1"/>
  <c r="AO133" i="1" s="1"/>
  <c r="AT122" i="1"/>
  <c r="AT133" i="1" s="1"/>
  <c r="AT144" i="1" s="1"/>
  <c r="AT111" i="1"/>
  <c r="AC78" i="1"/>
  <c r="AS111" i="1"/>
  <c r="AS122" i="1" s="1"/>
  <c r="I133" i="1"/>
  <c r="BC133" i="1" l="1"/>
  <c r="BC155" i="1" s="1"/>
  <c r="BC166" i="1" s="1"/>
  <c r="AB199" i="1"/>
  <c r="F188" i="1"/>
  <c r="AE188" i="1"/>
  <c r="AS133" i="1"/>
  <c r="AL166" i="1"/>
  <c r="AL199" i="1" s="1"/>
  <c r="AY133" i="1"/>
  <c r="T100" i="1"/>
  <c r="H133" i="1"/>
  <c r="H188" i="1" s="1"/>
  <c r="H144" i="1"/>
  <c r="H166" i="1"/>
  <c r="H155" i="1"/>
  <c r="K100" i="1"/>
  <c r="K111" i="1" s="1"/>
  <c r="K122" i="1" s="1"/>
  <c r="AH144" i="1"/>
  <c r="BA122" i="1"/>
  <c r="AS144" i="1"/>
  <c r="Z177" i="1"/>
  <c r="AF100" i="1"/>
  <c r="BB177" i="1"/>
  <c r="BB188" i="1" s="1"/>
  <c r="D111" i="1"/>
  <c r="AK122" i="1"/>
  <c r="AR100" i="1"/>
  <c r="Y100" i="1"/>
  <c r="Y111" i="1" s="1"/>
  <c r="Y122" i="1" s="1"/>
  <c r="Y133" i="1" s="1"/>
  <c r="AX111" i="1"/>
  <c r="AX122" i="1" s="1"/>
  <c r="AX133" i="1" s="1"/>
  <c r="AX144" i="1" s="1"/>
  <c r="AX155" i="1" s="1"/>
  <c r="AE133" i="1"/>
  <c r="AE144" i="1" s="1"/>
  <c r="AE155" i="1" s="1"/>
  <c r="AE166" i="1"/>
  <c r="AE177" i="1" s="1"/>
  <c r="K133" i="1"/>
  <c r="K144" i="1" s="1"/>
  <c r="K155" i="1" s="1"/>
  <c r="AI111" i="1"/>
  <c r="C177" i="1"/>
  <c r="C188" i="1" s="1"/>
  <c r="C199" i="1" s="1"/>
  <c r="T144" i="1"/>
  <c r="Q111" i="1"/>
  <c r="Q122" i="1" s="1"/>
  <c r="N155" i="1"/>
  <c r="BC144" i="1"/>
  <c r="AP177" i="1"/>
  <c r="AP188" i="1" s="1"/>
  <c r="AP199" i="1" s="1"/>
  <c r="U111" i="1"/>
  <c r="AN144" i="1"/>
  <c r="AN155" i="1" s="1"/>
  <c r="AW144" i="1"/>
  <c r="X133" i="1"/>
  <c r="AO155" i="1"/>
  <c r="N122" i="1"/>
  <c r="N133" i="1" s="1"/>
  <c r="N144" i="1" s="1"/>
  <c r="Y166" i="1"/>
  <c r="Y177" i="1" s="1"/>
  <c r="AE199" i="1"/>
  <c r="AX166" i="1"/>
  <c r="AM199" i="1"/>
  <c r="G100" i="1"/>
  <c r="AO166" i="1"/>
  <c r="W155" i="1"/>
  <c r="W166" i="1" s="1"/>
  <c r="W177" i="1" s="1"/>
  <c r="AC89" i="1"/>
  <c r="J111" i="1"/>
  <c r="J122" i="1" s="1"/>
  <c r="J133" i="1" s="1"/>
  <c r="J144" i="1" s="1"/>
  <c r="J155" i="1" s="1"/>
  <c r="Y144" i="1"/>
  <c r="Y155" i="1" s="1"/>
  <c r="AG122" i="1"/>
  <c r="AG133" i="1" s="1"/>
  <c r="AG144" i="1" s="1"/>
  <c r="AG155" i="1" s="1"/>
  <c r="AU111" i="1"/>
  <c r="F199" i="1"/>
  <c r="L100" i="1"/>
  <c r="I155" i="1"/>
  <c r="I166" i="1" s="1"/>
  <c r="AZ144" i="1"/>
  <c r="AZ155" i="1" s="1"/>
  <c r="AL177" i="1"/>
  <c r="AL188" i="1" s="1"/>
  <c r="H177" i="1"/>
  <c r="W188" i="1"/>
  <c r="W199" i="1" s="1"/>
  <c r="AO144" i="1"/>
  <c r="AQ122" i="1"/>
  <c r="S188" i="1"/>
  <c r="S199" i="1" s="1"/>
  <c r="M133" i="1"/>
  <c r="M144" i="1"/>
  <c r="M155" i="1" s="1"/>
  <c r="E133" i="1"/>
  <c r="E144" i="1" s="1"/>
  <c r="E155" i="1" s="1"/>
  <c r="AM177" i="1"/>
  <c r="AJ89" i="1"/>
  <c r="AO177" i="1"/>
  <c r="AO188" i="1" s="1"/>
  <c r="AO199" i="1" s="1"/>
  <c r="AV122" i="1"/>
  <c r="AT155" i="1"/>
  <c r="AA133" i="1"/>
  <c r="X144" i="1"/>
  <c r="AM188" i="1"/>
  <c r="V155" i="1"/>
  <c r="T111" i="1"/>
  <c r="T122" i="1" s="1"/>
  <c r="T133" i="1" s="1"/>
  <c r="N166" i="1"/>
  <c r="N177" i="1" s="1"/>
  <c r="AN166" i="1" l="1"/>
  <c r="AN177" i="1" s="1"/>
  <c r="AN188" i="1" s="1"/>
  <c r="AN199" i="1" s="1"/>
  <c r="K177" i="1"/>
  <c r="K188" i="1" s="1"/>
  <c r="K199" i="1" s="1"/>
  <c r="BC177" i="1"/>
  <c r="V177" i="1"/>
  <c r="V166" i="1"/>
  <c r="AQ133" i="1"/>
  <c r="AW155" i="1"/>
  <c r="U122" i="1"/>
  <c r="I188" i="1"/>
  <c r="T155" i="1"/>
  <c r="T166" i="1" s="1"/>
  <c r="AI122" i="1"/>
  <c r="AI133" i="1" s="1"/>
  <c r="AI144" i="1" s="1"/>
  <c r="AI155" i="1" s="1"/>
  <c r="AI166" i="1" s="1"/>
  <c r="AI177" i="1" s="1"/>
  <c r="V188" i="1"/>
  <c r="AA144" i="1"/>
  <c r="AA155" i="1" s="1"/>
  <c r="AA166" i="1" s="1"/>
  <c r="M166" i="1"/>
  <c r="M177" i="1" s="1"/>
  <c r="M188" i="1" s="1"/>
  <c r="AF111" i="1"/>
  <c r="AR111" i="1"/>
  <c r="E166" i="1"/>
  <c r="E188" i="1" s="1"/>
  <c r="N188" i="1"/>
  <c r="N199" i="1" s="1"/>
  <c r="Z188" i="1"/>
  <c r="Z199" i="1" s="1"/>
  <c r="AU122" i="1"/>
  <c r="AU133" i="1" s="1"/>
  <c r="AU144" i="1" s="1"/>
  <c r="AJ100" i="1"/>
  <c r="AJ111" i="1" s="1"/>
  <c r="AJ122" i="1" s="1"/>
  <c r="AJ133" i="1" s="1"/>
  <c r="K166" i="1"/>
  <c r="AY144" i="1"/>
  <c r="BB199" i="1"/>
  <c r="AX177" i="1"/>
  <c r="AX188" i="1" s="1"/>
  <c r="AX199" i="1" s="1"/>
  <c r="AC100" i="1"/>
  <c r="AS155" i="1"/>
  <c r="AQ144" i="1"/>
  <c r="AQ155" i="1" s="1"/>
  <c r="AQ166" i="1" s="1"/>
  <c r="AQ177" i="1" s="1"/>
  <c r="AQ188" i="1" s="1"/>
  <c r="AG166" i="1"/>
  <c r="AG177" i="1" s="1"/>
  <c r="G111" i="1"/>
  <c r="X155" i="1"/>
  <c r="AK133" i="1"/>
  <c r="AT166" i="1"/>
  <c r="AT177" i="1" s="1"/>
  <c r="AT188" i="1" s="1"/>
  <c r="AT199" i="1" s="1"/>
  <c r="Q133" i="1"/>
  <c r="BC188" i="1"/>
  <c r="BC199" i="1" s="1"/>
  <c r="E177" i="1"/>
  <c r="I177" i="1"/>
  <c r="I199" i="1" s="1"/>
  <c r="BA133" i="1"/>
  <c r="AV133" i="1"/>
  <c r="L111" i="1"/>
  <c r="J166" i="1"/>
  <c r="J177" i="1" s="1"/>
  <c r="Y188" i="1"/>
  <c r="Y199" i="1" s="1"/>
  <c r="D122" i="1"/>
  <c r="H199" i="1"/>
  <c r="V199" i="1"/>
  <c r="AZ166" i="1"/>
  <c r="AH155" i="1"/>
  <c r="AH166" i="1" s="1"/>
  <c r="AQ199" i="1" l="1"/>
  <c r="AV199" i="1"/>
  <c r="AS188" i="1"/>
  <c r="AS199" i="1" s="1"/>
  <c r="AJ144" i="1"/>
  <c r="E199" i="1"/>
  <c r="BA144" i="1"/>
  <c r="BA155" i="1" s="1"/>
  <c r="BA166" i="1"/>
  <c r="BA177" i="1" s="1"/>
  <c r="AK144" i="1"/>
  <c r="AK155" i="1" s="1"/>
  <c r="AZ177" i="1"/>
  <c r="AZ188" i="1" s="1"/>
  <c r="AZ199" i="1" s="1"/>
  <c r="G122" i="1"/>
  <c r="AC111" i="1"/>
  <c r="AS166" i="1"/>
  <c r="AS177" i="1" s="1"/>
  <c r="AJ155" i="1"/>
  <c r="AJ166" i="1" s="1"/>
  <c r="J188" i="1"/>
  <c r="J199" i="1" s="1"/>
  <c r="AF122" i="1"/>
  <c r="U133" i="1"/>
  <c r="Q144" i="1"/>
  <c r="Q155" i="1" s="1"/>
  <c r="Q166" i="1"/>
  <c r="AV144" i="1"/>
  <c r="AV155" i="1" s="1"/>
  <c r="AV166" i="1" s="1"/>
  <c r="AV177" i="1" s="1"/>
  <c r="AV188" i="1" s="1"/>
  <c r="AG188" i="1"/>
  <c r="AI199" i="1"/>
  <c r="M199" i="1"/>
  <c r="AY155" i="1"/>
  <c r="AY166" i="1" s="1"/>
  <c r="AY177" i="1" s="1"/>
  <c r="D133" i="1"/>
  <c r="D144" i="1" s="1"/>
  <c r="D155" i="1" s="1"/>
  <c r="AG199" i="1"/>
  <c r="L122" i="1"/>
  <c r="AW177" i="1"/>
  <c r="AW188" i="1" s="1"/>
  <c r="AW199" i="1" s="1"/>
  <c r="AW166" i="1"/>
  <c r="AH177" i="1"/>
  <c r="AH188" i="1" s="1"/>
  <c r="AH199" i="1" s="1"/>
  <c r="T177" i="1"/>
  <c r="X166" i="1"/>
  <c r="X177" i="1"/>
  <c r="X188" i="1" s="1"/>
  <c r="X199" i="1" s="1"/>
  <c r="AU155" i="1"/>
  <c r="AU166" i="1" s="1"/>
  <c r="AR122" i="1"/>
  <c r="AA177" i="1"/>
  <c r="AA188" i="1" s="1"/>
  <c r="AI188" i="1"/>
  <c r="AJ177" i="1" l="1"/>
  <c r="AJ199" i="1"/>
  <c r="AJ188" i="1"/>
  <c r="AF133" i="1"/>
  <c r="AF144" i="1" s="1"/>
  <c r="AF155" i="1" s="1"/>
  <c r="AF166" i="1"/>
  <c r="AF177" i="1" s="1"/>
  <c r="AF188" i="1" s="1"/>
  <c r="L133" i="1"/>
  <c r="L144" i="1" s="1"/>
  <c r="G133" i="1"/>
  <c r="BA199" i="1"/>
  <c r="AU177" i="1"/>
  <c r="AU188" i="1" s="1"/>
  <c r="T188" i="1"/>
  <c r="T199" i="1" s="1"/>
  <c r="BA188" i="1"/>
  <c r="AY188" i="1"/>
  <c r="AY199" i="1" s="1"/>
  <c r="U144" i="1"/>
  <c r="AR133" i="1"/>
  <c r="D166" i="1"/>
  <c r="D177" i="1" s="1"/>
  <c r="D188" i="1" s="1"/>
  <c r="D199" i="1" s="1"/>
  <c r="AA199" i="1"/>
  <c r="Q177" i="1"/>
  <c r="AC122" i="1"/>
  <c r="AK166" i="1"/>
  <c r="AK177" i="1" s="1"/>
  <c r="AK188" i="1" s="1"/>
  <c r="AK199" i="1" s="1"/>
  <c r="AU199" i="1" l="1"/>
  <c r="G144" i="1"/>
  <c r="AF199" i="1"/>
  <c r="AR144" i="1"/>
  <c r="AC133" i="1"/>
  <c r="Q188" i="1"/>
  <c r="Q199" i="1" s="1"/>
  <c r="U155" i="1"/>
  <c r="L155" i="1"/>
  <c r="AC144" i="1" l="1"/>
  <c r="G155" i="1"/>
  <c r="G166" i="1" s="1"/>
  <c r="G177" i="1" s="1"/>
  <c r="G188" i="1"/>
  <c r="G199" i="1" s="1"/>
  <c r="AR155" i="1"/>
  <c r="AR166" i="1" s="1"/>
  <c r="AR177" i="1" s="1"/>
  <c r="AR188" i="1" s="1"/>
  <c r="AR199" i="1" s="1"/>
  <c r="L166" i="1"/>
  <c r="L177" i="1" s="1"/>
  <c r="L188" i="1" s="1"/>
  <c r="U166" i="1"/>
  <c r="U177" i="1"/>
  <c r="U188" i="1" s="1"/>
  <c r="U199" i="1" l="1"/>
  <c r="L199" i="1"/>
  <c r="AC155" i="1"/>
  <c r="AC166" i="1" l="1"/>
  <c r="AC177" i="1" s="1"/>
  <c r="AC188" i="1" s="1"/>
  <c r="AC199" i="1"/>
</calcChain>
</file>

<file path=xl/sharedStrings.xml><?xml version="1.0" encoding="utf-8"?>
<sst xmlns="http://schemas.openxmlformats.org/spreadsheetml/2006/main" count="254" uniqueCount="74">
  <si>
    <t>지역</t>
  </si>
  <si>
    <t>연도</t>
  </si>
  <si>
    <t>합계</t>
  </si>
  <si>
    <t>1주차</t>
  </si>
  <si>
    <t>2주차</t>
  </si>
  <si>
    <t>3주차</t>
  </si>
  <si>
    <t>4주차</t>
  </si>
  <si>
    <t>5주차</t>
  </si>
  <si>
    <t>6주차</t>
  </si>
  <si>
    <t>7주차</t>
  </si>
  <si>
    <t>8주차</t>
  </si>
  <si>
    <t>9주차</t>
  </si>
  <si>
    <t>10주차</t>
  </si>
  <si>
    <t>11주차</t>
  </si>
  <si>
    <t>12주차</t>
  </si>
  <si>
    <t>13주차</t>
  </si>
  <si>
    <t>14주차</t>
  </si>
  <si>
    <t>15주차</t>
  </si>
  <si>
    <t>16주차</t>
  </si>
  <si>
    <t>17주차</t>
  </si>
  <si>
    <t>18주차</t>
  </si>
  <si>
    <t>19주차</t>
  </si>
  <si>
    <t>20주차</t>
  </si>
  <si>
    <t>21주차</t>
  </si>
  <si>
    <t>22주차</t>
  </si>
  <si>
    <t>23주차</t>
  </si>
  <si>
    <t>24주차</t>
  </si>
  <si>
    <t>25주차</t>
  </si>
  <si>
    <t>26주차</t>
  </si>
  <si>
    <t>27주차</t>
  </si>
  <si>
    <t>28주차</t>
  </si>
  <si>
    <t>29주차</t>
  </si>
  <si>
    <t>30주차</t>
  </si>
  <si>
    <t>31주차</t>
  </si>
  <si>
    <t>32주차</t>
  </si>
  <si>
    <t>33주차</t>
  </si>
  <si>
    <t>34주차</t>
  </si>
  <si>
    <t>35주차</t>
  </si>
  <si>
    <t>36주차</t>
  </si>
  <si>
    <t>37주차</t>
  </si>
  <si>
    <t>38주차</t>
  </si>
  <si>
    <t>39주차</t>
  </si>
  <si>
    <t>40주차</t>
  </si>
  <si>
    <t>41주차</t>
  </si>
  <si>
    <t>42주차</t>
  </si>
  <si>
    <t>43주차</t>
  </si>
  <si>
    <t>44주차</t>
  </si>
  <si>
    <t>45주차</t>
  </si>
  <si>
    <t>46주차</t>
  </si>
  <si>
    <t>47주차</t>
  </si>
  <si>
    <t>48주차</t>
  </si>
  <si>
    <t>49주차</t>
  </si>
  <si>
    <t>50주차</t>
  </si>
  <si>
    <t>51주차</t>
  </si>
  <si>
    <t>52주차</t>
  </si>
  <si>
    <t>강원</t>
  </si>
  <si>
    <t>경기</t>
  </si>
  <si>
    <t>경남</t>
  </si>
  <si>
    <t>경북</t>
  </si>
  <si>
    <t>광주</t>
  </si>
  <si>
    <t>대구</t>
  </si>
  <si>
    <t>대전</t>
  </si>
  <si>
    <t>부산</t>
  </si>
  <si>
    <t>서울</t>
  </si>
  <si>
    <t>세종</t>
  </si>
  <si>
    <t>울산</t>
  </si>
  <si>
    <t>인천</t>
  </si>
  <si>
    <t>전국</t>
  </si>
  <si>
    <t>전남</t>
  </si>
  <si>
    <t>전북</t>
  </si>
  <si>
    <t>제주</t>
  </si>
  <si>
    <t>충남</t>
  </si>
  <si>
    <t>충북</t>
  </si>
  <si>
    <t>53주차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</si>
</sst>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Malgun Gothic"/>
      <family val="3"/>
      <charset val="129"/>
    </font>
    <font>
      <sz val="11"/>
      <name val="맑은 고딕"/>
      <family val="3"/>
      <charset val="129"/>
    </font>
    <font>
      <sz val="8"/>
      <name val="Calibri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3" fillId="0" borderId="1">
      <alignment vertical="center"/>
    </xf>
  </cellStyleXfs>
  <cellXfs count="6"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vertical="center"/>
    </xf>
    <xf numFmtId="0" fontId="1" fillId="0" borderId="0" xfId="0" applyFont="1" applyBorder="1" applyAlignment="1">
      <alignment vertical="center"/>
    </xf>
    <xf numFmtId="0" fontId="3" fillId="0" borderId="1" xfId="1">
      <alignment vertical="center"/>
    </xf>
    <xf numFmtId="0" fontId="3" fillId="0" borderId="1" xfId="1" applyFont="1">
      <alignment vertical="center"/>
    </xf>
  </cellXfs>
  <cellStyles count="2">
    <cellStyle name="표준" xfId="0" builtinId="0"/>
    <cellStyle name="표준_merged_zzzzgamusi_data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U1000"/>
  <sheetViews>
    <sheetView tabSelected="1" topLeftCell="AO1" workbookViewId="0">
      <selection activeCell="BE18" sqref="BE18"/>
    </sheetView>
  </sheetViews>
  <sheetFormatPr defaultColWidth="14.42578125" defaultRowHeight="15" customHeight="1"/>
  <cols>
    <col min="1" max="55" width="8.7109375" customWidth="1"/>
  </cols>
  <sheetData>
    <row r="1" spans="1:255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73</v>
      </c>
    </row>
    <row r="2" spans="1:255" ht="16.5" customHeight="1">
      <c r="A2" s="4" t="s">
        <v>55</v>
      </c>
      <c r="B2" s="4">
        <v>2016</v>
      </c>
      <c r="C2" s="4">
        <v>119</v>
      </c>
      <c r="D2" s="5">
        <v>1</v>
      </c>
      <c r="E2" s="4">
        <v>0</v>
      </c>
      <c r="F2" s="4">
        <v>1</v>
      </c>
      <c r="G2" s="4">
        <v>0</v>
      </c>
      <c r="H2" s="4">
        <v>2</v>
      </c>
      <c r="I2" s="4">
        <v>0</v>
      </c>
      <c r="J2" s="4">
        <v>0</v>
      </c>
      <c r="K2" s="4">
        <v>2</v>
      </c>
      <c r="L2" s="4">
        <v>3</v>
      </c>
      <c r="M2" s="4">
        <v>1</v>
      </c>
      <c r="N2" s="4">
        <v>1</v>
      </c>
      <c r="O2" s="4">
        <v>1</v>
      </c>
      <c r="P2" s="4">
        <v>0</v>
      </c>
      <c r="Q2" s="4">
        <v>0</v>
      </c>
      <c r="R2" s="4">
        <v>1</v>
      </c>
      <c r="S2" s="4">
        <v>0</v>
      </c>
      <c r="T2" s="4">
        <v>3</v>
      </c>
      <c r="U2" s="4">
        <v>2</v>
      </c>
      <c r="V2" s="4">
        <v>2</v>
      </c>
      <c r="W2" s="4">
        <v>4</v>
      </c>
      <c r="X2" s="4">
        <v>2</v>
      </c>
      <c r="Y2" s="4">
        <v>6</v>
      </c>
      <c r="Z2" s="4">
        <v>0</v>
      </c>
      <c r="AA2" s="4">
        <v>4</v>
      </c>
      <c r="AB2" s="4">
        <v>0</v>
      </c>
      <c r="AC2" s="4">
        <v>2</v>
      </c>
      <c r="AD2" s="4">
        <v>3</v>
      </c>
      <c r="AE2" s="4">
        <v>1</v>
      </c>
      <c r="AF2" s="4">
        <v>0</v>
      </c>
      <c r="AG2" s="4">
        <v>1</v>
      </c>
      <c r="AH2" s="4">
        <v>1</v>
      </c>
      <c r="AI2" s="4">
        <v>0</v>
      </c>
      <c r="AJ2" s="4">
        <v>1</v>
      </c>
      <c r="AK2" s="4">
        <v>0</v>
      </c>
      <c r="AL2" s="4">
        <v>0</v>
      </c>
      <c r="AM2" s="4">
        <v>1</v>
      </c>
      <c r="AN2" s="4">
        <v>0</v>
      </c>
      <c r="AO2" s="4">
        <v>0</v>
      </c>
      <c r="AP2" s="4">
        <v>4</v>
      </c>
      <c r="AQ2" s="4">
        <v>2</v>
      </c>
      <c r="AR2" s="4">
        <v>2</v>
      </c>
      <c r="AS2" s="4">
        <v>3</v>
      </c>
      <c r="AT2" s="4">
        <v>7</v>
      </c>
      <c r="AU2" s="4">
        <v>1</v>
      </c>
      <c r="AV2" s="4">
        <v>14</v>
      </c>
      <c r="AW2" s="4">
        <v>16</v>
      </c>
      <c r="AX2" s="4">
        <v>13</v>
      </c>
      <c r="AY2" s="4">
        <v>5</v>
      </c>
      <c r="AZ2" s="4">
        <v>3</v>
      </c>
      <c r="BA2" s="4">
        <v>1</v>
      </c>
      <c r="BB2" s="4">
        <v>1</v>
      </c>
      <c r="BC2" s="4">
        <v>0</v>
      </c>
      <c r="BD2" s="4">
        <v>1</v>
      </c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</row>
    <row r="3" spans="1:255" ht="16.5" customHeight="1">
      <c r="A3" s="4" t="s">
        <v>55</v>
      </c>
      <c r="B3" s="4">
        <v>2017</v>
      </c>
      <c r="C3" s="4">
        <v>59</v>
      </c>
      <c r="D3" s="5">
        <v>0</v>
      </c>
      <c r="E3" s="4">
        <v>0</v>
      </c>
      <c r="F3" s="4">
        <v>1</v>
      </c>
      <c r="G3" s="4">
        <v>2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1</v>
      </c>
      <c r="S3" s="4">
        <v>0</v>
      </c>
      <c r="T3" s="4">
        <v>0</v>
      </c>
      <c r="U3" s="4">
        <v>1</v>
      </c>
      <c r="V3" s="4">
        <v>0</v>
      </c>
      <c r="W3" s="4">
        <v>1</v>
      </c>
      <c r="X3" s="4">
        <v>0</v>
      </c>
      <c r="Y3" s="4">
        <v>0</v>
      </c>
      <c r="Z3" s="4">
        <v>1</v>
      </c>
      <c r="AA3" s="4">
        <v>0</v>
      </c>
      <c r="AB3" s="4">
        <v>0</v>
      </c>
      <c r="AC3" s="4">
        <v>1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1</v>
      </c>
      <c r="AJ3" s="4">
        <v>0</v>
      </c>
      <c r="AK3" s="4">
        <v>0</v>
      </c>
      <c r="AL3" s="4">
        <v>1</v>
      </c>
      <c r="AM3" s="4">
        <v>1</v>
      </c>
      <c r="AN3" s="4">
        <v>0</v>
      </c>
      <c r="AO3" s="4">
        <v>1</v>
      </c>
      <c r="AP3" s="4">
        <v>0</v>
      </c>
      <c r="AQ3" s="4">
        <v>1</v>
      </c>
      <c r="AR3" s="4">
        <v>3</v>
      </c>
      <c r="AS3" s="4">
        <v>5</v>
      </c>
      <c r="AT3" s="4">
        <v>7</v>
      </c>
      <c r="AU3" s="4">
        <v>8</v>
      </c>
      <c r="AV3" s="4">
        <v>10</v>
      </c>
      <c r="AW3" s="4">
        <v>10</v>
      </c>
      <c r="AX3" s="4">
        <v>2</v>
      </c>
      <c r="AY3" s="4">
        <v>0</v>
      </c>
      <c r="AZ3" s="4">
        <v>0</v>
      </c>
      <c r="BA3" s="4">
        <v>0</v>
      </c>
      <c r="BB3" s="4">
        <v>1</v>
      </c>
      <c r="BC3" s="4">
        <v>0</v>
      </c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</row>
    <row r="4" spans="1:255" ht="16.5" customHeight="1">
      <c r="A4" s="4" t="s">
        <v>55</v>
      </c>
      <c r="B4" s="4">
        <v>2018</v>
      </c>
      <c r="C4" s="4">
        <v>49</v>
      </c>
      <c r="D4" s="5">
        <v>1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1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2</v>
      </c>
      <c r="U4" s="4">
        <v>0</v>
      </c>
      <c r="V4" s="4">
        <v>0</v>
      </c>
      <c r="W4" s="4">
        <v>0</v>
      </c>
      <c r="X4" s="4">
        <v>4</v>
      </c>
      <c r="Y4" s="4">
        <v>1</v>
      </c>
      <c r="Z4" s="4">
        <v>0</v>
      </c>
      <c r="AA4" s="4">
        <v>1</v>
      </c>
      <c r="AB4" s="4">
        <v>2</v>
      </c>
      <c r="AC4" s="4">
        <v>0</v>
      </c>
      <c r="AD4" s="4">
        <v>2</v>
      </c>
      <c r="AE4" s="4">
        <v>2</v>
      </c>
      <c r="AF4" s="4">
        <v>2</v>
      </c>
      <c r="AG4" s="4">
        <v>0</v>
      </c>
      <c r="AH4" s="4">
        <v>1</v>
      </c>
      <c r="AI4" s="4">
        <v>0</v>
      </c>
      <c r="AJ4" s="4">
        <v>3</v>
      </c>
      <c r="AK4" s="4">
        <v>1</v>
      </c>
      <c r="AL4" s="4">
        <v>0</v>
      </c>
      <c r="AM4" s="4">
        <v>1</v>
      </c>
      <c r="AN4" s="4">
        <v>1</v>
      </c>
      <c r="AO4" s="4">
        <v>1</v>
      </c>
      <c r="AP4" s="4">
        <v>1</v>
      </c>
      <c r="AQ4" s="4">
        <v>1</v>
      </c>
      <c r="AR4" s="4">
        <v>0</v>
      </c>
      <c r="AS4" s="4">
        <v>8</v>
      </c>
      <c r="AT4" s="4">
        <v>3</v>
      </c>
      <c r="AU4" s="4">
        <v>2</v>
      </c>
      <c r="AV4" s="4">
        <v>2</v>
      </c>
      <c r="AW4" s="4">
        <v>2</v>
      </c>
      <c r="AX4" s="4">
        <v>0</v>
      </c>
      <c r="AY4" s="4">
        <v>2</v>
      </c>
      <c r="AZ4" s="4">
        <v>0</v>
      </c>
      <c r="BA4" s="4">
        <v>2</v>
      </c>
      <c r="BB4" s="4">
        <v>0</v>
      </c>
      <c r="BC4" s="4">
        <v>0</v>
      </c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</row>
    <row r="5" spans="1:255" ht="16.5" customHeight="1">
      <c r="A5" s="4" t="s">
        <v>55</v>
      </c>
      <c r="B5" s="4">
        <v>2019</v>
      </c>
      <c r="C5" s="4">
        <v>29</v>
      </c>
      <c r="D5" s="5">
        <v>0</v>
      </c>
      <c r="E5" s="4">
        <v>0</v>
      </c>
      <c r="F5" s="4">
        <v>0</v>
      </c>
      <c r="G5" s="4">
        <v>0</v>
      </c>
      <c r="H5" s="4">
        <v>1</v>
      </c>
      <c r="I5" s="4">
        <v>0</v>
      </c>
      <c r="J5" s="4">
        <v>0</v>
      </c>
      <c r="K5" s="4">
        <v>0</v>
      </c>
      <c r="L5" s="4">
        <v>0</v>
      </c>
      <c r="M5" s="4">
        <v>1</v>
      </c>
      <c r="N5" s="4">
        <v>0</v>
      </c>
      <c r="O5" s="4">
        <v>0</v>
      </c>
      <c r="P5" s="4">
        <v>1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1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1</v>
      </c>
      <c r="AL5" s="4">
        <v>1</v>
      </c>
      <c r="AM5" s="4">
        <v>0</v>
      </c>
      <c r="AN5" s="4">
        <v>0</v>
      </c>
      <c r="AO5" s="4">
        <v>0</v>
      </c>
      <c r="AP5" s="4">
        <v>0</v>
      </c>
      <c r="AQ5" s="4">
        <v>1</v>
      </c>
      <c r="AR5" s="4">
        <v>1</v>
      </c>
      <c r="AS5" s="4">
        <v>2</v>
      </c>
      <c r="AT5" s="4">
        <v>0</v>
      </c>
      <c r="AU5" s="4">
        <v>2</v>
      </c>
      <c r="AV5" s="4">
        <v>6</v>
      </c>
      <c r="AW5" s="4">
        <v>3</v>
      </c>
      <c r="AX5" s="4">
        <v>3</v>
      </c>
      <c r="AY5" s="4">
        <v>3</v>
      </c>
      <c r="AZ5" s="4">
        <v>1</v>
      </c>
      <c r="BA5" s="4">
        <v>0</v>
      </c>
      <c r="BB5" s="4">
        <v>1</v>
      </c>
      <c r="BC5" s="4">
        <v>0</v>
      </c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</row>
    <row r="6" spans="1:255" ht="16.5" customHeight="1">
      <c r="A6" s="4" t="s">
        <v>55</v>
      </c>
      <c r="B6" s="4">
        <v>2020</v>
      </c>
      <c r="C6" s="4">
        <v>20</v>
      </c>
      <c r="D6" s="5">
        <v>0</v>
      </c>
      <c r="E6" s="4">
        <v>1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1</v>
      </c>
      <c r="P6" s="4">
        <v>0</v>
      </c>
      <c r="Q6" s="4">
        <v>0</v>
      </c>
      <c r="R6" s="4">
        <v>1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1</v>
      </c>
      <c r="AA6" s="4">
        <v>0</v>
      </c>
      <c r="AB6" s="4">
        <v>0</v>
      </c>
      <c r="AC6" s="4">
        <v>1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1</v>
      </c>
      <c r="AT6" s="4">
        <v>1</v>
      </c>
      <c r="AU6" s="4">
        <v>4</v>
      </c>
      <c r="AV6" s="4">
        <v>4</v>
      </c>
      <c r="AW6" s="4">
        <v>1</v>
      </c>
      <c r="AX6" s="4">
        <v>2</v>
      </c>
      <c r="AY6" s="4">
        <v>1</v>
      </c>
      <c r="AZ6" s="4">
        <v>1</v>
      </c>
      <c r="BA6" s="4">
        <v>0</v>
      </c>
      <c r="BB6" s="4">
        <v>0</v>
      </c>
      <c r="BC6" s="4">
        <v>0</v>
      </c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</row>
    <row r="7" spans="1:255" ht="16.5" customHeight="1">
      <c r="A7" s="4" t="s">
        <v>55</v>
      </c>
      <c r="B7" s="4">
        <v>2021</v>
      </c>
      <c r="C7" s="4">
        <v>28</v>
      </c>
      <c r="D7" s="5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1</v>
      </c>
      <c r="X7" s="4">
        <v>1</v>
      </c>
      <c r="Y7" s="4">
        <v>1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2</v>
      </c>
      <c r="AF7" s="4">
        <v>0</v>
      </c>
      <c r="AG7" s="4">
        <v>0</v>
      </c>
      <c r="AH7" s="4">
        <v>1</v>
      </c>
      <c r="AI7" s="4">
        <v>0</v>
      </c>
      <c r="AJ7" s="4">
        <v>0</v>
      </c>
      <c r="AK7" s="4">
        <v>0</v>
      </c>
      <c r="AL7" s="4">
        <v>1</v>
      </c>
      <c r="AM7" s="4">
        <v>0</v>
      </c>
      <c r="AN7" s="4">
        <v>0</v>
      </c>
      <c r="AO7" s="4">
        <v>0</v>
      </c>
      <c r="AP7" s="4">
        <v>0</v>
      </c>
      <c r="AQ7" s="4">
        <v>1</v>
      </c>
      <c r="AR7" s="4">
        <v>0</v>
      </c>
      <c r="AS7" s="4">
        <v>0</v>
      </c>
      <c r="AT7" s="4">
        <v>2</v>
      </c>
      <c r="AU7" s="4">
        <v>2</v>
      </c>
      <c r="AV7" s="4">
        <v>6</v>
      </c>
      <c r="AW7" s="4">
        <v>2</v>
      </c>
      <c r="AX7" s="4">
        <v>2</v>
      </c>
      <c r="AY7" s="4">
        <v>2</v>
      </c>
      <c r="AZ7" s="4">
        <v>0</v>
      </c>
      <c r="BA7" s="4">
        <v>2</v>
      </c>
      <c r="BB7" s="4">
        <v>1</v>
      </c>
      <c r="BC7" s="4">
        <v>0</v>
      </c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4"/>
      <c r="HB7" s="4"/>
      <c r="HC7" s="4"/>
      <c r="HD7" s="4"/>
      <c r="HE7" s="4"/>
      <c r="HF7" s="4"/>
      <c r="HG7" s="4"/>
      <c r="HH7" s="4"/>
      <c r="HI7" s="4"/>
      <c r="HJ7" s="4"/>
      <c r="HK7" s="4"/>
      <c r="HL7" s="4"/>
      <c r="HM7" s="4"/>
      <c r="HN7" s="4"/>
      <c r="HO7" s="4"/>
      <c r="HP7" s="4"/>
      <c r="HQ7" s="4"/>
      <c r="HR7" s="4"/>
      <c r="HS7" s="4"/>
      <c r="HT7" s="4"/>
      <c r="HU7" s="4"/>
      <c r="HV7" s="4"/>
      <c r="HW7" s="4"/>
      <c r="HX7" s="4"/>
      <c r="HY7" s="4"/>
      <c r="HZ7" s="4"/>
      <c r="IA7" s="4"/>
      <c r="IB7" s="4"/>
      <c r="IC7" s="4"/>
      <c r="ID7" s="4"/>
      <c r="IE7" s="4"/>
      <c r="IF7" s="4"/>
      <c r="IG7" s="4"/>
      <c r="IH7" s="4"/>
      <c r="II7" s="4"/>
      <c r="IJ7" s="4"/>
      <c r="IK7" s="4"/>
      <c r="IL7" s="4"/>
      <c r="IM7" s="4"/>
      <c r="IN7" s="4"/>
      <c r="IO7" s="4"/>
      <c r="IP7" s="4"/>
      <c r="IQ7" s="4"/>
      <c r="IR7" s="4"/>
      <c r="IS7" s="4"/>
      <c r="IT7" s="4"/>
      <c r="IU7" s="4"/>
    </row>
    <row r="8" spans="1:255" ht="16.5" customHeight="1">
      <c r="A8" s="4" t="s">
        <v>55</v>
      </c>
      <c r="B8" s="4">
        <v>2022</v>
      </c>
      <c r="C8" s="4">
        <v>26</v>
      </c>
      <c r="D8" s="5">
        <v>1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1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1</v>
      </c>
      <c r="Z8" s="4">
        <v>1</v>
      </c>
      <c r="AA8" s="4">
        <v>0</v>
      </c>
      <c r="AB8" s="4">
        <v>1</v>
      </c>
      <c r="AC8" s="4">
        <v>2</v>
      </c>
      <c r="AD8" s="4">
        <v>0</v>
      </c>
      <c r="AE8" s="4">
        <v>0</v>
      </c>
      <c r="AF8" s="4">
        <v>1</v>
      </c>
      <c r="AG8" s="4">
        <v>0</v>
      </c>
      <c r="AH8" s="4">
        <v>2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2</v>
      </c>
      <c r="AS8" s="4">
        <v>1</v>
      </c>
      <c r="AT8" s="4">
        <v>0</v>
      </c>
      <c r="AU8" s="4">
        <v>1</v>
      </c>
      <c r="AV8" s="4">
        <v>2</v>
      </c>
      <c r="AW8" s="4">
        <v>3</v>
      </c>
      <c r="AX8" s="4">
        <v>4</v>
      </c>
      <c r="AY8" s="4">
        <v>1</v>
      </c>
      <c r="AZ8" s="4">
        <v>1</v>
      </c>
      <c r="BA8" s="4">
        <v>0</v>
      </c>
      <c r="BB8" s="4">
        <v>0</v>
      </c>
      <c r="BC8" s="4">
        <v>1</v>
      </c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B8" s="4"/>
      <c r="HC8" s="4"/>
      <c r="HD8" s="4"/>
      <c r="HE8" s="4"/>
      <c r="HF8" s="4"/>
      <c r="HG8" s="4"/>
      <c r="HH8" s="4"/>
      <c r="HI8" s="4"/>
      <c r="HJ8" s="4"/>
      <c r="HK8" s="4"/>
      <c r="HL8" s="4"/>
      <c r="HM8" s="4"/>
      <c r="HN8" s="4"/>
      <c r="HO8" s="4"/>
      <c r="HP8" s="4"/>
      <c r="HQ8" s="4"/>
      <c r="HR8" s="4"/>
      <c r="HS8" s="4"/>
      <c r="HT8" s="4"/>
      <c r="HU8" s="4"/>
      <c r="HV8" s="4"/>
      <c r="HW8" s="4"/>
      <c r="HX8" s="4"/>
      <c r="HY8" s="4"/>
      <c r="HZ8" s="4"/>
      <c r="IA8" s="4"/>
      <c r="IB8" s="4"/>
      <c r="IC8" s="4"/>
      <c r="ID8" s="4"/>
      <c r="IE8" s="4"/>
      <c r="IF8" s="4"/>
      <c r="IG8" s="4"/>
      <c r="IH8" s="4"/>
      <c r="II8" s="4"/>
      <c r="IJ8" s="4"/>
      <c r="IK8" s="4"/>
      <c r="IL8" s="4"/>
      <c r="IM8" s="4"/>
      <c r="IN8" s="4"/>
      <c r="IO8" s="4"/>
      <c r="IP8" s="4"/>
      <c r="IQ8" s="4"/>
      <c r="IR8" s="4"/>
      <c r="IS8" s="4"/>
      <c r="IT8" s="4"/>
      <c r="IU8" s="4"/>
    </row>
    <row r="9" spans="1:255" ht="16.5" customHeight="1">
      <c r="A9" s="4" t="s">
        <v>55</v>
      </c>
      <c r="B9" s="4">
        <v>2023</v>
      </c>
      <c r="C9" s="4">
        <v>20</v>
      </c>
      <c r="D9" s="5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1</v>
      </c>
      <c r="AB9" s="4">
        <v>0</v>
      </c>
      <c r="AC9" s="4">
        <v>0</v>
      </c>
      <c r="AD9" s="4">
        <v>0</v>
      </c>
      <c r="AE9" s="4">
        <v>0</v>
      </c>
      <c r="AF9" s="4">
        <v>1</v>
      </c>
      <c r="AG9" s="4">
        <v>0</v>
      </c>
      <c r="AH9" s="4">
        <v>1</v>
      </c>
      <c r="AI9" s="4">
        <v>2</v>
      </c>
      <c r="AJ9" s="4">
        <v>1</v>
      </c>
      <c r="AK9" s="4">
        <v>0</v>
      </c>
      <c r="AL9" s="4">
        <v>0</v>
      </c>
      <c r="AM9" s="4">
        <v>1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2</v>
      </c>
      <c r="AU9" s="4">
        <v>3</v>
      </c>
      <c r="AV9" s="4">
        <v>4</v>
      </c>
      <c r="AW9" s="4">
        <v>1</v>
      </c>
      <c r="AX9" s="4">
        <v>0</v>
      </c>
      <c r="AY9" s="4">
        <v>1</v>
      </c>
      <c r="AZ9" s="4">
        <v>0</v>
      </c>
      <c r="BA9" s="4">
        <v>1</v>
      </c>
      <c r="BB9" s="4">
        <v>1</v>
      </c>
      <c r="BC9" s="4">
        <v>0</v>
      </c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  <c r="IH9" s="4"/>
      <c r="II9" s="4"/>
      <c r="IJ9" s="4"/>
      <c r="IK9" s="4"/>
      <c r="IL9" s="4"/>
      <c r="IM9" s="4"/>
      <c r="IN9" s="4"/>
      <c r="IO9" s="4"/>
      <c r="IP9" s="4"/>
      <c r="IQ9" s="4"/>
      <c r="IR9" s="4"/>
      <c r="IS9" s="4"/>
      <c r="IT9" s="4"/>
      <c r="IU9" s="4"/>
    </row>
    <row r="10" spans="1:255" ht="16.5" customHeight="1">
      <c r="A10" s="4" t="s">
        <v>55</v>
      </c>
      <c r="B10" s="4">
        <v>2024</v>
      </c>
      <c r="C10" s="4">
        <v>23</v>
      </c>
      <c r="D10" s="5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1</v>
      </c>
      <c r="S10" s="4">
        <v>0</v>
      </c>
      <c r="T10" s="4">
        <v>1</v>
      </c>
      <c r="U10" s="4">
        <v>0</v>
      </c>
      <c r="V10" s="4">
        <v>1</v>
      </c>
      <c r="W10" s="4">
        <v>0</v>
      </c>
      <c r="X10" s="4">
        <v>1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1</v>
      </c>
      <c r="AU10" s="4">
        <v>2</v>
      </c>
      <c r="AV10" s="4">
        <v>1</v>
      </c>
      <c r="AW10" s="4">
        <v>4</v>
      </c>
      <c r="AX10" s="4">
        <v>5</v>
      </c>
      <c r="AY10" s="4">
        <v>3</v>
      </c>
      <c r="AZ10" s="4">
        <v>0</v>
      </c>
      <c r="BA10" s="4">
        <v>3</v>
      </c>
      <c r="BB10" s="4">
        <v>0</v>
      </c>
      <c r="BC10" s="4">
        <v>0</v>
      </c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  <c r="IH10" s="4"/>
      <c r="II10" s="4"/>
      <c r="IJ10" s="4"/>
      <c r="IK10" s="4"/>
      <c r="IL10" s="4"/>
      <c r="IM10" s="4"/>
      <c r="IN10" s="4"/>
      <c r="IO10" s="4"/>
      <c r="IP10" s="4"/>
      <c r="IQ10" s="4"/>
      <c r="IR10" s="4"/>
      <c r="IS10" s="4"/>
      <c r="IT10" s="4"/>
      <c r="IU10" s="4"/>
    </row>
    <row r="11" spans="1:255" ht="16.5" customHeight="1">
      <c r="A11" s="4" t="s">
        <v>55</v>
      </c>
      <c r="B11" s="4">
        <v>2025</v>
      </c>
      <c r="C11" s="4">
        <v>19</v>
      </c>
      <c r="D11" s="5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1</v>
      </c>
      <c r="Q11" s="4">
        <v>0</v>
      </c>
      <c r="R11" s="4">
        <v>0</v>
      </c>
      <c r="S11" s="4">
        <v>0</v>
      </c>
      <c r="T11" s="4">
        <v>0</v>
      </c>
      <c r="U11" s="4">
        <v>1</v>
      </c>
      <c r="V11" s="4">
        <v>0</v>
      </c>
      <c r="W11" s="4">
        <v>1</v>
      </c>
      <c r="X11" s="4">
        <v>1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1</v>
      </c>
      <c r="AU11" s="4">
        <v>1</v>
      </c>
      <c r="AV11" s="4">
        <v>3</v>
      </c>
      <c r="AW11" s="4">
        <v>4</v>
      </c>
      <c r="AX11" s="4">
        <v>3</v>
      </c>
      <c r="AY11" s="4">
        <v>3</v>
      </c>
      <c r="AZ11" s="4">
        <v>0</v>
      </c>
      <c r="BA11" s="4">
        <v>0</v>
      </c>
      <c r="BB11" s="4">
        <v>0</v>
      </c>
      <c r="BC11" s="4">
        <v>0</v>
      </c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  <c r="IO11" s="4"/>
      <c r="IP11" s="4"/>
      <c r="IQ11" s="4"/>
      <c r="IR11" s="4"/>
      <c r="IS11" s="4"/>
      <c r="IT11" s="4"/>
      <c r="IU11" s="4"/>
    </row>
    <row r="12" spans="1:255" ht="16.5" customHeight="1">
      <c r="A12" s="2" t="s">
        <v>2</v>
      </c>
      <c r="B12" s="2"/>
      <c r="C12" s="2">
        <f t="shared" ref="C12:AH12" si="0">SUM(C2:C11)</f>
        <v>392</v>
      </c>
      <c r="D12" s="2">
        <f t="shared" si="0"/>
        <v>3</v>
      </c>
      <c r="E12" s="2">
        <f t="shared" si="0"/>
        <v>1</v>
      </c>
      <c r="F12" s="2">
        <f t="shared" si="0"/>
        <v>2</v>
      </c>
      <c r="G12" s="2">
        <f t="shared" si="0"/>
        <v>2</v>
      </c>
      <c r="H12" s="2">
        <f t="shared" si="0"/>
        <v>3</v>
      </c>
      <c r="I12" s="2">
        <f t="shared" si="0"/>
        <v>0</v>
      </c>
      <c r="J12" s="2">
        <f t="shared" si="0"/>
        <v>0</v>
      </c>
      <c r="K12" s="2">
        <f t="shared" si="0"/>
        <v>2</v>
      </c>
      <c r="L12" s="2">
        <f t="shared" si="0"/>
        <v>3</v>
      </c>
      <c r="M12" s="2">
        <f t="shared" si="0"/>
        <v>3</v>
      </c>
      <c r="N12" s="2">
        <f t="shared" si="0"/>
        <v>1</v>
      </c>
      <c r="O12" s="2">
        <f t="shared" si="0"/>
        <v>2</v>
      </c>
      <c r="P12" s="2">
        <f t="shared" si="0"/>
        <v>2</v>
      </c>
      <c r="Q12" s="2">
        <f t="shared" si="0"/>
        <v>1</v>
      </c>
      <c r="R12" s="2">
        <f t="shared" si="0"/>
        <v>4</v>
      </c>
      <c r="S12" s="2">
        <f t="shared" si="0"/>
        <v>0</v>
      </c>
      <c r="T12" s="2">
        <f t="shared" si="0"/>
        <v>6</v>
      </c>
      <c r="U12" s="2">
        <f t="shared" si="0"/>
        <v>5</v>
      </c>
      <c r="V12" s="2">
        <f t="shared" si="0"/>
        <v>3</v>
      </c>
      <c r="W12" s="2">
        <f t="shared" si="0"/>
        <v>7</v>
      </c>
      <c r="X12" s="2">
        <f t="shared" si="0"/>
        <v>9</v>
      </c>
      <c r="Y12" s="2">
        <f t="shared" si="0"/>
        <v>9</v>
      </c>
      <c r="Z12" s="2">
        <f t="shared" si="0"/>
        <v>3</v>
      </c>
      <c r="AA12" s="2">
        <f t="shared" si="0"/>
        <v>7</v>
      </c>
      <c r="AB12" s="2">
        <f t="shared" si="0"/>
        <v>3</v>
      </c>
      <c r="AC12" s="2">
        <f t="shared" si="0"/>
        <v>6</v>
      </c>
      <c r="AD12" s="2">
        <f t="shared" si="0"/>
        <v>5</v>
      </c>
      <c r="AE12" s="2">
        <f t="shared" si="0"/>
        <v>5</v>
      </c>
      <c r="AF12" s="2">
        <f t="shared" si="0"/>
        <v>4</v>
      </c>
      <c r="AG12" s="2">
        <f t="shared" si="0"/>
        <v>1</v>
      </c>
      <c r="AH12" s="2">
        <f t="shared" si="0"/>
        <v>6</v>
      </c>
      <c r="AI12" s="2">
        <f t="shared" ref="AI12:BB12" si="1">SUM(AI2:AI11)</f>
        <v>3</v>
      </c>
      <c r="AJ12" s="2">
        <f t="shared" si="1"/>
        <v>5</v>
      </c>
      <c r="AK12" s="2">
        <f t="shared" si="1"/>
        <v>2</v>
      </c>
      <c r="AL12" s="2">
        <f t="shared" si="1"/>
        <v>3</v>
      </c>
      <c r="AM12" s="2">
        <f t="shared" si="1"/>
        <v>4</v>
      </c>
      <c r="AN12" s="2">
        <f t="shared" si="1"/>
        <v>1</v>
      </c>
      <c r="AO12" s="2">
        <f t="shared" si="1"/>
        <v>2</v>
      </c>
      <c r="AP12" s="2">
        <f t="shared" si="1"/>
        <v>5</v>
      </c>
      <c r="AQ12" s="2">
        <f t="shared" si="1"/>
        <v>6</v>
      </c>
      <c r="AR12" s="2">
        <f t="shared" si="1"/>
        <v>8</v>
      </c>
      <c r="AS12" s="2">
        <f t="shared" si="1"/>
        <v>20</v>
      </c>
      <c r="AT12" s="2">
        <f t="shared" si="1"/>
        <v>24</v>
      </c>
      <c r="AU12" s="2">
        <f t="shared" si="1"/>
        <v>26</v>
      </c>
      <c r="AV12" s="2">
        <f t="shared" si="1"/>
        <v>52</v>
      </c>
      <c r="AW12" s="2">
        <f t="shared" si="1"/>
        <v>46</v>
      </c>
      <c r="AX12" s="2">
        <f t="shared" si="1"/>
        <v>34</v>
      </c>
      <c r="AY12" s="2">
        <f t="shared" si="1"/>
        <v>21</v>
      </c>
      <c r="AZ12" s="2">
        <f t="shared" si="1"/>
        <v>6</v>
      </c>
      <c r="BA12" s="2">
        <f t="shared" si="1"/>
        <v>9</v>
      </c>
      <c r="BB12" s="2">
        <f t="shared" si="1"/>
        <v>5</v>
      </c>
      <c r="BC12" s="2">
        <f>BD12</f>
        <v>1</v>
      </c>
      <c r="BD12" s="2">
        <f>SUM(BD2:BD11)</f>
        <v>1</v>
      </c>
    </row>
    <row r="13" spans="1:255" ht="16.5" customHeight="1">
      <c r="A13" s="4" t="s">
        <v>56</v>
      </c>
      <c r="B13" s="4">
        <v>2016</v>
      </c>
      <c r="C13" s="4">
        <v>975</v>
      </c>
      <c r="D13" s="5">
        <v>2</v>
      </c>
      <c r="E13" s="4">
        <v>1</v>
      </c>
      <c r="F13" s="4">
        <v>3</v>
      </c>
      <c r="G13" s="4">
        <v>3</v>
      </c>
      <c r="H13" s="4">
        <v>7</v>
      </c>
      <c r="I13" s="4">
        <v>0</v>
      </c>
      <c r="J13" s="4">
        <v>4</v>
      </c>
      <c r="K13" s="4">
        <v>1</v>
      </c>
      <c r="L13" s="4">
        <v>5</v>
      </c>
      <c r="M13" s="4">
        <v>2</v>
      </c>
      <c r="N13" s="4">
        <v>3</v>
      </c>
      <c r="O13" s="4">
        <v>4</v>
      </c>
      <c r="P13" s="4">
        <v>1</v>
      </c>
      <c r="Q13" s="4">
        <v>2</v>
      </c>
      <c r="R13" s="4">
        <v>0</v>
      </c>
      <c r="S13" s="4">
        <v>1</v>
      </c>
      <c r="T13" s="4">
        <v>6</v>
      </c>
      <c r="U13" s="4">
        <v>4</v>
      </c>
      <c r="V13" s="4">
        <v>5</v>
      </c>
      <c r="W13" s="4">
        <v>8</v>
      </c>
      <c r="X13" s="4">
        <v>7</v>
      </c>
      <c r="Y13" s="4">
        <v>12</v>
      </c>
      <c r="Z13" s="4">
        <v>9</v>
      </c>
      <c r="AA13" s="4">
        <v>8</v>
      </c>
      <c r="AB13" s="4">
        <v>12</v>
      </c>
      <c r="AC13" s="4">
        <v>12</v>
      </c>
      <c r="AD13" s="4">
        <v>7</v>
      </c>
      <c r="AE13" s="4">
        <v>3</v>
      </c>
      <c r="AF13" s="4">
        <v>2</v>
      </c>
      <c r="AG13" s="4">
        <v>9</v>
      </c>
      <c r="AH13" s="4">
        <v>9</v>
      </c>
      <c r="AI13" s="4">
        <v>2</v>
      </c>
      <c r="AJ13" s="4">
        <v>2</v>
      </c>
      <c r="AK13" s="4">
        <v>5</v>
      </c>
      <c r="AL13" s="4">
        <v>4</v>
      </c>
      <c r="AM13" s="4">
        <v>4</v>
      </c>
      <c r="AN13" s="4">
        <v>9</v>
      </c>
      <c r="AO13" s="4">
        <v>2</v>
      </c>
      <c r="AP13" s="4">
        <v>11</v>
      </c>
      <c r="AQ13" s="4">
        <v>9</v>
      </c>
      <c r="AR13" s="4">
        <v>11</v>
      </c>
      <c r="AS13" s="4">
        <v>29</v>
      </c>
      <c r="AT13" s="4">
        <v>47</v>
      </c>
      <c r="AU13" s="4">
        <v>93</v>
      </c>
      <c r="AV13" s="4">
        <v>149</v>
      </c>
      <c r="AW13" s="4">
        <v>220</v>
      </c>
      <c r="AX13" s="4">
        <v>114</v>
      </c>
      <c r="AY13" s="4">
        <v>51</v>
      </c>
      <c r="AZ13" s="4">
        <v>33</v>
      </c>
      <c r="BA13" s="4">
        <v>18</v>
      </c>
      <c r="BB13" s="4">
        <v>5</v>
      </c>
      <c r="BC13" s="4">
        <v>5</v>
      </c>
      <c r="BD13" s="4">
        <v>0</v>
      </c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4"/>
      <c r="GL13" s="4"/>
      <c r="GM13" s="4"/>
      <c r="GN13" s="4"/>
      <c r="GO13" s="4"/>
      <c r="GP13" s="4"/>
      <c r="GQ13" s="4"/>
      <c r="GR13" s="4"/>
      <c r="GS13" s="4"/>
      <c r="GT13" s="4"/>
      <c r="GU13" s="4"/>
      <c r="GV13" s="4"/>
      <c r="GW13" s="4"/>
      <c r="GX13" s="4"/>
      <c r="GY13" s="4"/>
      <c r="GZ13" s="4"/>
      <c r="HA13" s="4"/>
      <c r="HB13" s="4"/>
      <c r="HC13" s="4"/>
      <c r="HD13" s="4"/>
      <c r="HE13" s="4"/>
      <c r="HF13" s="4"/>
      <c r="HG13" s="4"/>
      <c r="HH13" s="4"/>
      <c r="HI13" s="4"/>
      <c r="HJ13" s="4"/>
      <c r="HK13" s="4"/>
      <c r="HL13" s="4"/>
      <c r="HM13" s="4"/>
      <c r="HN13" s="4"/>
      <c r="HO13" s="4"/>
      <c r="HP13" s="4"/>
      <c r="HQ13" s="4"/>
      <c r="HR13" s="4"/>
      <c r="HS13" s="4"/>
      <c r="HT13" s="4"/>
      <c r="HU13" s="4"/>
      <c r="HV13" s="4"/>
      <c r="HW13" s="4"/>
      <c r="HX13" s="4"/>
      <c r="HY13" s="4"/>
      <c r="HZ13" s="4"/>
      <c r="IA13" s="4"/>
      <c r="IB13" s="4"/>
      <c r="IC13" s="4"/>
      <c r="ID13" s="4"/>
      <c r="IE13" s="4"/>
      <c r="IF13" s="4"/>
      <c r="IG13" s="4"/>
      <c r="IH13" s="4"/>
      <c r="II13" s="4"/>
      <c r="IJ13" s="4"/>
      <c r="IK13" s="4"/>
      <c r="IL13" s="4"/>
      <c r="IM13" s="4"/>
      <c r="IN13" s="4"/>
      <c r="IO13" s="4"/>
      <c r="IP13" s="4"/>
      <c r="IQ13" s="4"/>
      <c r="IR13" s="4"/>
      <c r="IS13" s="4"/>
      <c r="IT13" s="4"/>
      <c r="IU13" s="4"/>
    </row>
    <row r="14" spans="1:255" ht="16.5" customHeight="1">
      <c r="A14" s="1" t="s">
        <v>56</v>
      </c>
      <c r="B14" s="1">
        <v>2017</v>
      </c>
      <c r="C14" s="1">
        <v>724</v>
      </c>
      <c r="D14" s="1">
        <v>2</v>
      </c>
      <c r="E14" s="1">
        <v>1</v>
      </c>
      <c r="F14" s="1">
        <v>0</v>
      </c>
      <c r="G14" s="1">
        <v>0</v>
      </c>
      <c r="H14" s="1">
        <v>1</v>
      </c>
      <c r="I14" s="1">
        <v>1</v>
      </c>
      <c r="J14" s="1">
        <v>1</v>
      </c>
      <c r="K14" s="1">
        <v>0</v>
      </c>
      <c r="L14" s="1">
        <v>0</v>
      </c>
      <c r="M14" s="1">
        <v>0</v>
      </c>
      <c r="N14" s="1">
        <v>0</v>
      </c>
      <c r="O14" s="1">
        <v>1</v>
      </c>
      <c r="P14" s="1">
        <v>0</v>
      </c>
      <c r="Q14" s="1">
        <v>0</v>
      </c>
      <c r="R14" s="1">
        <v>0</v>
      </c>
      <c r="S14" s="1">
        <v>1</v>
      </c>
      <c r="T14" s="1">
        <v>0</v>
      </c>
      <c r="U14" s="1">
        <v>3</v>
      </c>
      <c r="V14" s="1">
        <v>4</v>
      </c>
      <c r="W14" s="1">
        <v>2</v>
      </c>
      <c r="X14" s="1">
        <v>0</v>
      </c>
      <c r="Y14" s="1">
        <v>0</v>
      </c>
      <c r="Z14" s="1">
        <v>4</v>
      </c>
      <c r="AA14" s="1">
        <v>4</v>
      </c>
      <c r="AB14" s="1">
        <v>6</v>
      </c>
      <c r="AC14" s="1">
        <v>3</v>
      </c>
      <c r="AD14" s="1">
        <v>4</v>
      </c>
      <c r="AE14" s="1">
        <v>4</v>
      </c>
      <c r="AF14" s="1">
        <v>2</v>
      </c>
      <c r="AG14" s="1">
        <v>1</v>
      </c>
      <c r="AH14" s="1">
        <v>2</v>
      </c>
      <c r="AI14" s="1">
        <v>2</v>
      </c>
      <c r="AJ14" s="1">
        <v>3</v>
      </c>
      <c r="AK14" s="1">
        <v>5</v>
      </c>
      <c r="AL14" s="1">
        <v>5</v>
      </c>
      <c r="AM14" s="1">
        <v>8</v>
      </c>
      <c r="AN14" s="1">
        <v>6</v>
      </c>
      <c r="AO14" s="1">
        <v>8</v>
      </c>
      <c r="AP14" s="1">
        <v>10</v>
      </c>
      <c r="AQ14" s="1">
        <v>4</v>
      </c>
      <c r="AR14" s="1">
        <v>35</v>
      </c>
      <c r="AS14" s="1">
        <v>78</v>
      </c>
      <c r="AT14" s="1">
        <v>168</v>
      </c>
      <c r="AU14" s="1">
        <v>108</v>
      </c>
      <c r="AV14" s="1">
        <v>100</v>
      </c>
      <c r="AW14" s="1">
        <v>64</v>
      </c>
      <c r="AX14" s="1">
        <v>29</v>
      </c>
      <c r="AY14" s="1">
        <v>25</v>
      </c>
      <c r="AZ14" s="1">
        <v>10</v>
      </c>
      <c r="BA14" s="1">
        <v>3</v>
      </c>
      <c r="BB14" s="1">
        <v>3</v>
      </c>
      <c r="BC14" s="1">
        <v>3</v>
      </c>
    </row>
    <row r="15" spans="1:255" ht="16.5" customHeight="1">
      <c r="A15" s="1" t="s">
        <v>56</v>
      </c>
      <c r="B15" s="1">
        <v>2018</v>
      </c>
      <c r="C15" s="1">
        <v>507</v>
      </c>
      <c r="D15" s="1">
        <v>1</v>
      </c>
      <c r="E15" s="1">
        <v>1</v>
      </c>
      <c r="F15" s="1">
        <v>0</v>
      </c>
      <c r="G15" s="1">
        <v>2</v>
      </c>
      <c r="H15" s="1">
        <v>0</v>
      </c>
      <c r="I15" s="1">
        <v>1</v>
      </c>
      <c r="J15" s="1">
        <v>1</v>
      </c>
      <c r="K15" s="1">
        <v>1</v>
      </c>
      <c r="L15" s="1">
        <v>2</v>
      </c>
      <c r="M15" s="1">
        <v>2</v>
      </c>
      <c r="N15" s="1">
        <v>0</v>
      </c>
      <c r="O15" s="1">
        <v>2</v>
      </c>
      <c r="P15" s="1">
        <v>1</v>
      </c>
      <c r="Q15" s="1">
        <v>7</v>
      </c>
      <c r="R15" s="1">
        <v>0</v>
      </c>
      <c r="S15" s="1">
        <v>3</v>
      </c>
      <c r="T15" s="1">
        <v>5</v>
      </c>
      <c r="U15" s="1">
        <v>6</v>
      </c>
      <c r="V15" s="1">
        <v>5</v>
      </c>
      <c r="W15" s="1">
        <v>3</v>
      </c>
      <c r="X15" s="1">
        <v>3</v>
      </c>
      <c r="Y15" s="1">
        <v>4</v>
      </c>
      <c r="Z15" s="1">
        <v>3</v>
      </c>
      <c r="AA15" s="1">
        <v>5</v>
      </c>
      <c r="AB15" s="1">
        <v>3</v>
      </c>
      <c r="AC15" s="1">
        <v>2</v>
      </c>
      <c r="AD15" s="1">
        <v>3</v>
      </c>
      <c r="AE15" s="1">
        <v>5</v>
      </c>
      <c r="AF15" s="1">
        <v>3</v>
      </c>
      <c r="AG15" s="1">
        <v>1</v>
      </c>
      <c r="AH15" s="1">
        <v>3</v>
      </c>
      <c r="AI15" s="1">
        <v>1</v>
      </c>
      <c r="AJ15" s="1">
        <v>2</v>
      </c>
      <c r="AK15" s="1">
        <v>2</v>
      </c>
      <c r="AL15" s="1">
        <v>2</v>
      </c>
      <c r="AM15" s="1">
        <v>3</v>
      </c>
      <c r="AN15" s="1">
        <v>5</v>
      </c>
      <c r="AO15" s="1">
        <v>3</v>
      </c>
      <c r="AP15" s="1">
        <v>4</v>
      </c>
      <c r="AQ15" s="1">
        <v>2</v>
      </c>
      <c r="AR15" s="1">
        <v>7</v>
      </c>
      <c r="AS15" s="1">
        <v>41</v>
      </c>
      <c r="AT15" s="1">
        <v>81</v>
      </c>
      <c r="AU15" s="1">
        <v>83</v>
      </c>
      <c r="AV15" s="1">
        <v>88</v>
      </c>
      <c r="AW15" s="1">
        <v>60</v>
      </c>
      <c r="AX15" s="1">
        <v>26</v>
      </c>
      <c r="AY15" s="1">
        <v>9</v>
      </c>
      <c r="AZ15" s="1">
        <v>3</v>
      </c>
      <c r="BA15" s="1">
        <v>5</v>
      </c>
      <c r="BB15" s="1">
        <v>1</v>
      </c>
      <c r="BC15" s="1">
        <v>1</v>
      </c>
    </row>
    <row r="16" spans="1:255" ht="16.5" customHeight="1">
      <c r="A16" s="1" t="s">
        <v>56</v>
      </c>
      <c r="B16" s="1">
        <v>2019</v>
      </c>
      <c r="C16" s="1">
        <v>288</v>
      </c>
      <c r="D16" s="1">
        <v>0</v>
      </c>
      <c r="E16" s="1">
        <v>0</v>
      </c>
      <c r="F16" s="1">
        <v>1</v>
      </c>
      <c r="G16" s="1">
        <v>2</v>
      </c>
      <c r="H16" s="1">
        <v>0</v>
      </c>
      <c r="I16" s="1">
        <v>0</v>
      </c>
      <c r="J16" s="1">
        <v>0</v>
      </c>
      <c r="K16" s="1">
        <v>1</v>
      </c>
      <c r="L16" s="1">
        <v>1</v>
      </c>
      <c r="M16" s="1">
        <v>0</v>
      </c>
      <c r="N16" s="1">
        <v>1</v>
      </c>
      <c r="O16" s="1">
        <v>1</v>
      </c>
      <c r="P16" s="1">
        <v>0</v>
      </c>
      <c r="Q16" s="1">
        <v>1</v>
      </c>
      <c r="R16" s="1">
        <v>0</v>
      </c>
      <c r="S16" s="1">
        <v>2</v>
      </c>
      <c r="T16" s="1">
        <v>0</v>
      </c>
      <c r="U16" s="1">
        <v>1</v>
      </c>
      <c r="V16" s="1">
        <v>2</v>
      </c>
      <c r="W16" s="1">
        <v>1</v>
      </c>
      <c r="X16" s="1">
        <v>1</v>
      </c>
      <c r="Y16" s="1">
        <v>0</v>
      </c>
      <c r="Z16" s="1">
        <v>1</v>
      </c>
      <c r="AA16" s="1">
        <v>3</v>
      </c>
      <c r="AB16" s="1">
        <v>2</v>
      </c>
      <c r="AC16" s="1">
        <v>2</v>
      </c>
      <c r="AD16" s="1">
        <v>0</v>
      </c>
      <c r="AE16" s="1">
        <v>1</v>
      </c>
      <c r="AF16" s="1">
        <v>1</v>
      </c>
      <c r="AG16" s="1">
        <v>1</v>
      </c>
      <c r="AH16" s="1">
        <v>2</v>
      </c>
      <c r="AI16" s="1">
        <v>2</v>
      </c>
      <c r="AJ16" s="1">
        <v>2</v>
      </c>
      <c r="AK16" s="1">
        <v>10</v>
      </c>
      <c r="AL16" s="1">
        <v>7</v>
      </c>
      <c r="AM16" s="1">
        <v>15</v>
      </c>
      <c r="AN16" s="1">
        <v>2</v>
      </c>
      <c r="AO16" s="1">
        <v>4</v>
      </c>
      <c r="AP16" s="1">
        <v>3</v>
      </c>
      <c r="AQ16" s="1">
        <v>3</v>
      </c>
      <c r="AR16" s="1">
        <v>2</v>
      </c>
      <c r="AS16" s="1">
        <v>9</v>
      </c>
      <c r="AT16" s="1">
        <v>12</v>
      </c>
      <c r="AU16" s="1">
        <v>24</v>
      </c>
      <c r="AV16" s="1">
        <v>44</v>
      </c>
      <c r="AW16" s="1">
        <v>49</v>
      </c>
      <c r="AX16" s="1">
        <v>29</v>
      </c>
      <c r="AY16" s="1">
        <v>29</v>
      </c>
      <c r="AZ16" s="1">
        <v>6</v>
      </c>
      <c r="BA16" s="1">
        <v>6</v>
      </c>
      <c r="BB16" s="1">
        <v>0</v>
      </c>
      <c r="BC16" s="1">
        <v>2</v>
      </c>
    </row>
    <row r="17" spans="1:255" ht="16.5" customHeight="1">
      <c r="A17" s="1" t="s">
        <v>56</v>
      </c>
      <c r="B17" s="1">
        <v>2020</v>
      </c>
      <c r="C17" s="1">
        <v>236</v>
      </c>
      <c r="D17" s="1">
        <v>4</v>
      </c>
      <c r="E17" s="1">
        <v>1</v>
      </c>
      <c r="F17" s="1">
        <v>0</v>
      </c>
      <c r="G17" s="1">
        <v>0</v>
      </c>
      <c r="H17" s="1">
        <v>1</v>
      </c>
      <c r="I17" s="1">
        <v>0</v>
      </c>
      <c r="J17" s="1">
        <v>0</v>
      </c>
      <c r="K17" s="1">
        <v>0</v>
      </c>
      <c r="L17" s="1">
        <v>0</v>
      </c>
      <c r="M17" s="1">
        <v>1</v>
      </c>
      <c r="N17" s="1">
        <v>0</v>
      </c>
      <c r="O17" s="1">
        <v>0</v>
      </c>
      <c r="P17" s="1">
        <v>1</v>
      </c>
      <c r="Q17" s="1">
        <v>2</v>
      </c>
      <c r="R17" s="1">
        <v>1</v>
      </c>
      <c r="S17" s="1">
        <v>2</v>
      </c>
      <c r="T17" s="1">
        <v>1</v>
      </c>
      <c r="U17" s="1">
        <v>1</v>
      </c>
      <c r="V17" s="1">
        <v>3</v>
      </c>
      <c r="W17" s="1">
        <v>2</v>
      </c>
      <c r="X17" s="1">
        <v>2</v>
      </c>
      <c r="Y17" s="1">
        <v>0</v>
      </c>
      <c r="Z17" s="1">
        <v>4</v>
      </c>
      <c r="AA17" s="1">
        <v>2</v>
      </c>
      <c r="AB17" s="1">
        <v>1</v>
      </c>
      <c r="AC17" s="1">
        <v>2</v>
      </c>
      <c r="AD17" s="1">
        <v>0</v>
      </c>
      <c r="AE17" s="1">
        <v>0</v>
      </c>
      <c r="AF17" s="1">
        <v>1</v>
      </c>
      <c r="AG17" s="1">
        <v>1</v>
      </c>
      <c r="AH17" s="1">
        <v>1</v>
      </c>
      <c r="AI17" s="1">
        <v>0</v>
      </c>
      <c r="AJ17" s="1">
        <v>0</v>
      </c>
      <c r="AK17" s="1">
        <v>1</v>
      </c>
      <c r="AL17" s="1">
        <v>1</v>
      </c>
      <c r="AM17" s="1">
        <v>3</v>
      </c>
      <c r="AN17" s="1">
        <v>0</v>
      </c>
      <c r="AO17" s="1">
        <v>1</v>
      </c>
      <c r="AP17" s="1">
        <v>2</v>
      </c>
      <c r="AQ17" s="1">
        <v>1</v>
      </c>
      <c r="AR17" s="1">
        <v>2</v>
      </c>
      <c r="AS17" s="1">
        <v>6</v>
      </c>
      <c r="AT17" s="1">
        <v>20</v>
      </c>
      <c r="AU17" s="1">
        <v>22</v>
      </c>
      <c r="AV17" s="1">
        <v>50</v>
      </c>
      <c r="AW17" s="1">
        <v>38</v>
      </c>
      <c r="AX17" s="1">
        <v>20</v>
      </c>
      <c r="AY17" s="1">
        <v>17</v>
      </c>
      <c r="AZ17" s="1">
        <v>7</v>
      </c>
      <c r="BA17" s="1">
        <v>7</v>
      </c>
      <c r="BB17" s="1">
        <v>4</v>
      </c>
      <c r="BC17" s="1">
        <v>0</v>
      </c>
    </row>
    <row r="18" spans="1:255" ht="16.5" customHeight="1">
      <c r="A18" s="1" t="s">
        <v>56</v>
      </c>
      <c r="B18" s="1">
        <v>2021</v>
      </c>
      <c r="C18" s="1">
        <v>342</v>
      </c>
      <c r="D18" s="1">
        <v>1</v>
      </c>
      <c r="E18" s="1">
        <v>3</v>
      </c>
      <c r="F18" s="1">
        <v>1</v>
      </c>
      <c r="G18" s="1">
        <v>0</v>
      </c>
      <c r="H18" s="1">
        <v>0</v>
      </c>
      <c r="I18" s="1">
        <v>1</v>
      </c>
      <c r="J18" s="1">
        <v>1</v>
      </c>
      <c r="K18" s="1">
        <v>1</v>
      </c>
      <c r="L18" s="1">
        <v>0</v>
      </c>
      <c r="M18" s="1">
        <v>0</v>
      </c>
      <c r="N18" s="1">
        <v>2</v>
      </c>
      <c r="O18" s="1">
        <v>0</v>
      </c>
      <c r="P18" s="1">
        <v>0</v>
      </c>
      <c r="Q18" s="1">
        <v>0</v>
      </c>
      <c r="R18" s="1">
        <v>3</v>
      </c>
      <c r="S18" s="1">
        <v>2</v>
      </c>
      <c r="T18" s="1">
        <v>2</v>
      </c>
      <c r="U18" s="1">
        <v>3</v>
      </c>
      <c r="V18" s="1">
        <v>0</v>
      </c>
      <c r="W18" s="1">
        <v>1</v>
      </c>
      <c r="X18" s="1">
        <v>5</v>
      </c>
      <c r="Y18" s="1">
        <v>0</v>
      </c>
      <c r="Z18" s="1">
        <v>3</v>
      </c>
      <c r="AA18" s="1">
        <v>1</v>
      </c>
      <c r="AB18" s="1">
        <v>3</v>
      </c>
      <c r="AC18" s="1">
        <v>2</v>
      </c>
      <c r="AD18" s="1">
        <v>1</v>
      </c>
      <c r="AE18" s="1">
        <v>2</v>
      </c>
      <c r="AF18" s="1">
        <v>2</v>
      </c>
      <c r="AG18" s="1">
        <v>1</v>
      </c>
      <c r="AH18" s="1">
        <v>1</v>
      </c>
      <c r="AI18" s="1">
        <v>0</v>
      </c>
      <c r="AJ18" s="1">
        <v>1</v>
      </c>
      <c r="AK18" s="1">
        <v>1</v>
      </c>
      <c r="AL18" s="1">
        <v>3</v>
      </c>
      <c r="AM18" s="1">
        <v>1</v>
      </c>
      <c r="AN18" s="1">
        <v>2</v>
      </c>
      <c r="AO18" s="1">
        <v>1</v>
      </c>
      <c r="AP18" s="1">
        <v>2</v>
      </c>
      <c r="AQ18" s="1">
        <v>3</v>
      </c>
      <c r="AR18" s="1">
        <v>1</v>
      </c>
      <c r="AS18" s="1">
        <v>9</v>
      </c>
      <c r="AT18" s="1">
        <v>15</v>
      </c>
      <c r="AU18" s="1">
        <v>27</v>
      </c>
      <c r="AV18" s="1">
        <v>45</v>
      </c>
      <c r="AW18" s="1">
        <v>48</v>
      </c>
      <c r="AX18" s="1">
        <v>70</v>
      </c>
      <c r="AY18" s="1">
        <v>40</v>
      </c>
      <c r="AZ18" s="1">
        <v>16</v>
      </c>
      <c r="BA18" s="1">
        <v>4</v>
      </c>
      <c r="BB18" s="1">
        <v>9</v>
      </c>
      <c r="BC18" s="1">
        <v>2</v>
      </c>
    </row>
    <row r="19" spans="1:255" ht="16.5" customHeight="1">
      <c r="A19" s="1" t="s">
        <v>56</v>
      </c>
      <c r="B19" s="1">
        <v>2022</v>
      </c>
      <c r="C19" s="1">
        <v>383</v>
      </c>
      <c r="D19" s="1">
        <v>0</v>
      </c>
      <c r="E19" s="1">
        <v>2</v>
      </c>
      <c r="F19" s="1">
        <v>2</v>
      </c>
      <c r="G19" s="1">
        <v>1</v>
      </c>
      <c r="H19" s="1">
        <v>1</v>
      </c>
      <c r="I19" s="1">
        <v>0</v>
      </c>
      <c r="J19" s="1">
        <v>1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1</v>
      </c>
      <c r="Q19" s="1">
        <v>1</v>
      </c>
      <c r="R19" s="1">
        <v>2</v>
      </c>
      <c r="S19" s="1">
        <v>1</v>
      </c>
      <c r="T19" s="1">
        <v>3</v>
      </c>
      <c r="U19" s="1">
        <v>1</v>
      </c>
      <c r="V19" s="1">
        <v>0</v>
      </c>
      <c r="W19" s="1">
        <v>1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4</v>
      </c>
      <c r="AD19" s="1">
        <v>0</v>
      </c>
      <c r="AE19" s="1">
        <v>1</v>
      </c>
      <c r="AF19" s="1">
        <v>2</v>
      </c>
      <c r="AG19" s="1">
        <v>2</v>
      </c>
      <c r="AH19" s="1">
        <v>1</v>
      </c>
      <c r="AI19" s="1">
        <v>1</v>
      </c>
      <c r="AJ19" s="1">
        <v>1</v>
      </c>
      <c r="AK19" s="1">
        <v>0</v>
      </c>
      <c r="AL19" s="1">
        <v>1</v>
      </c>
      <c r="AM19" s="1">
        <v>2</v>
      </c>
      <c r="AN19" s="1">
        <v>3</v>
      </c>
      <c r="AO19" s="1">
        <v>2</v>
      </c>
      <c r="AP19" s="1">
        <v>5</v>
      </c>
      <c r="AQ19" s="1">
        <v>2</v>
      </c>
      <c r="AR19" s="1">
        <v>6</v>
      </c>
      <c r="AS19" s="1">
        <v>9</v>
      </c>
      <c r="AT19" s="1">
        <v>29</v>
      </c>
      <c r="AU19" s="1">
        <v>41</v>
      </c>
      <c r="AV19" s="1">
        <v>73</v>
      </c>
      <c r="AW19" s="1">
        <v>85</v>
      </c>
      <c r="AX19" s="1">
        <v>50</v>
      </c>
      <c r="AY19" s="1">
        <v>23</v>
      </c>
      <c r="AZ19" s="1">
        <v>11</v>
      </c>
      <c r="BA19" s="1">
        <v>7</v>
      </c>
      <c r="BB19" s="1">
        <v>4</v>
      </c>
      <c r="BC19" s="1">
        <v>1</v>
      </c>
    </row>
    <row r="20" spans="1:255" ht="16.5" customHeight="1">
      <c r="A20" s="1" t="s">
        <v>56</v>
      </c>
      <c r="B20" s="1">
        <v>2023</v>
      </c>
      <c r="C20" s="1">
        <v>360</v>
      </c>
      <c r="D20" s="1">
        <v>1</v>
      </c>
      <c r="E20" s="1">
        <v>0</v>
      </c>
      <c r="F20" s="1">
        <v>0</v>
      </c>
      <c r="G20" s="1">
        <v>0</v>
      </c>
      <c r="H20" s="1">
        <v>2</v>
      </c>
      <c r="I20" s="1">
        <v>0</v>
      </c>
      <c r="J20" s="1">
        <v>0</v>
      </c>
      <c r="K20" s="1">
        <v>1</v>
      </c>
      <c r="L20" s="1">
        <v>0</v>
      </c>
      <c r="M20" s="1">
        <v>0</v>
      </c>
      <c r="N20" s="1">
        <v>0</v>
      </c>
      <c r="O20" s="1">
        <v>0</v>
      </c>
      <c r="P20" s="1">
        <v>1</v>
      </c>
      <c r="Q20" s="1">
        <v>1</v>
      </c>
      <c r="R20" s="1">
        <v>0</v>
      </c>
      <c r="S20" s="1">
        <v>0</v>
      </c>
      <c r="T20" s="1">
        <v>1</v>
      </c>
      <c r="U20" s="1">
        <v>1</v>
      </c>
      <c r="V20" s="1">
        <v>0</v>
      </c>
      <c r="W20" s="1">
        <v>0</v>
      </c>
      <c r="X20" s="1">
        <v>0</v>
      </c>
      <c r="Y20" s="1">
        <v>1</v>
      </c>
      <c r="Z20" s="1">
        <v>1</v>
      </c>
      <c r="AA20" s="1">
        <v>2</v>
      </c>
      <c r="AB20" s="1">
        <v>3</v>
      </c>
      <c r="AC20" s="1">
        <v>5</v>
      </c>
      <c r="AD20" s="1">
        <v>0</v>
      </c>
      <c r="AE20" s="1">
        <v>0</v>
      </c>
      <c r="AF20" s="1">
        <v>1</v>
      </c>
      <c r="AG20" s="1">
        <v>0</v>
      </c>
      <c r="AH20" s="1">
        <v>0</v>
      </c>
      <c r="AI20" s="1">
        <v>1</v>
      </c>
      <c r="AJ20" s="1">
        <v>4</v>
      </c>
      <c r="AK20" s="1">
        <v>0</v>
      </c>
      <c r="AL20" s="1">
        <v>1</v>
      </c>
      <c r="AM20" s="1">
        <v>0</v>
      </c>
      <c r="AN20" s="1">
        <v>3</v>
      </c>
      <c r="AO20" s="1">
        <v>1</v>
      </c>
      <c r="AP20" s="1">
        <v>2</v>
      </c>
      <c r="AQ20" s="1">
        <v>0</v>
      </c>
      <c r="AR20" s="1">
        <v>4</v>
      </c>
      <c r="AS20" s="1">
        <v>7</v>
      </c>
      <c r="AT20" s="1">
        <v>27</v>
      </c>
      <c r="AU20" s="1">
        <v>71</v>
      </c>
      <c r="AV20" s="1">
        <v>83</v>
      </c>
      <c r="AW20" s="1">
        <v>50</v>
      </c>
      <c r="AX20" s="1">
        <v>39</v>
      </c>
      <c r="AY20" s="1">
        <v>27</v>
      </c>
      <c r="AZ20" s="1">
        <v>10</v>
      </c>
      <c r="BA20" s="1">
        <v>4</v>
      </c>
      <c r="BB20" s="1">
        <v>4</v>
      </c>
      <c r="BC20" s="1">
        <v>1</v>
      </c>
    </row>
    <row r="21" spans="1:255" ht="16.5" customHeight="1">
      <c r="A21" s="1" t="s">
        <v>56</v>
      </c>
      <c r="B21" s="1">
        <v>2024</v>
      </c>
      <c r="C21" s="1">
        <v>452</v>
      </c>
      <c r="D21" s="1">
        <v>0</v>
      </c>
      <c r="E21" s="1">
        <v>0</v>
      </c>
      <c r="F21" s="1">
        <v>0</v>
      </c>
      <c r="G21" s="1">
        <v>1</v>
      </c>
      <c r="H21" s="1">
        <v>0</v>
      </c>
      <c r="I21" s="1">
        <v>3</v>
      </c>
      <c r="J21" s="1">
        <v>2</v>
      </c>
      <c r="K21" s="1">
        <v>1</v>
      </c>
      <c r="L21" s="1">
        <v>1</v>
      </c>
      <c r="M21" s="1">
        <v>2</v>
      </c>
      <c r="N21" s="1">
        <v>1</v>
      </c>
      <c r="O21" s="1">
        <v>0</v>
      </c>
      <c r="P21" s="1">
        <v>2</v>
      </c>
      <c r="Q21" s="1">
        <v>1</v>
      </c>
      <c r="R21" s="1">
        <v>0</v>
      </c>
      <c r="S21" s="1">
        <v>0</v>
      </c>
      <c r="T21" s="1">
        <v>1</v>
      </c>
      <c r="U21" s="1">
        <v>1</v>
      </c>
      <c r="V21" s="1">
        <v>3</v>
      </c>
      <c r="W21" s="1">
        <v>1</v>
      </c>
      <c r="X21" s="1">
        <v>1</v>
      </c>
      <c r="Y21" s="1">
        <v>2</v>
      </c>
      <c r="Z21" s="1">
        <v>0</v>
      </c>
      <c r="AA21" s="1">
        <v>4</v>
      </c>
      <c r="AB21" s="1">
        <v>1</v>
      </c>
      <c r="AC21" s="1">
        <v>1</v>
      </c>
      <c r="AD21" s="1">
        <v>1</v>
      </c>
      <c r="AE21" s="1">
        <v>2</v>
      </c>
      <c r="AF21" s="1">
        <v>2</v>
      </c>
      <c r="AG21" s="1">
        <v>1</v>
      </c>
      <c r="AH21" s="1">
        <v>1</v>
      </c>
      <c r="AI21" s="1">
        <v>1</v>
      </c>
      <c r="AJ21" s="1">
        <v>0</v>
      </c>
      <c r="AK21" s="1">
        <v>2</v>
      </c>
      <c r="AL21" s="1">
        <v>1</v>
      </c>
      <c r="AM21" s="1">
        <v>3</v>
      </c>
      <c r="AN21" s="1">
        <v>0</v>
      </c>
      <c r="AO21" s="1">
        <v>1</v>
      </c>
      <c r="AP21" s="1">
        <v>2</v>
      </c>
      <c r="AQ21" s="1">
        <v>0</v>
      </c>
      <c r="AR21" s="1">
        <v>0</v>
      </c>
      <c r="AS21" s="1">
        <v>5</v>
      </c>
      <c r="AT21" s="1">
        <v>14</v>
      </c>
      <c r="AU21" s="1">
        <v>80</v>
      </c>
      <c r="AV21" s="1">
        <v>81</v>
      </c>
      <c r="AW21" s="1">
        <v>67</v>
      </c>
      <c r="AX21" s="1">
        <v>71</v>
      </c>
      <c r="AY21" s="1">
        <v>42</v>
      </c>
      <c r="AZ21" s="1">
        <v>31</v>
      </c>
      <c r="BA21" s="1">
        <v>12</v>
      </c>
      <c r="BB21" s="1">
        <v>3</v>
      </c>
      <c r="BC21" s="1">
        <v>0</v>
      </c>
    </row>
    <row r="22" spans="1:255" ht="16.5" customHeight="1">
      <c r="A22" s="1" t="s">
        <v>56</v>
      </c>
      <c r="B22" s="1">
        <v>2025</v>
      </c>
      <c r="C22" s="1">
        <v>330</v>
      </c>
      <c r="D22" s="1">
        <v>0</v>
      </c>
      <c r="E22" s="1">
        <v>1</v>
      </c>
      <c r="F22" s="1">
        <v>0</v>
      </c>
      <c r="G22" s="1">
        <v>1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1</v>
      </c>
      <c r="R22" s="1">
        <v>0</v>
      </c>
      <c r="S22" s="1">
        <v>1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1</v>
      </c>
      <c r="AB22" s="1">
        <v>0</v>
      </c>
      <c r="AC22" s="1">
        <v>1</v>
      </c>
      <c r="AD22" s="1">
        <v>0</v>
      </c>
      <c r="AE22" s="1">
        <v>0</v>
      </c>
      <c r="AF22" s="1">
        <v>1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1</v>
      </c>
      <c r="AN22" s="1">
        <v>0</v>
      </c>
      <c r="AO22" s="1">
        <v>1</v>
      </c>
      <c r="AP22" s="1">
        <v>1</v>
      </c>
      <c r="AQ22" s="1">
        <v>1</v>
      </c>
      <c r="AR22" s="1">
        <v>0</v>
      </c>
      <c r="AS22" s="1">
        <v>1</v>
      </c>
      <c r="AT22" s="1">
        <v>15</v>
      </c>
      <c r="AU22" s="1">
        <v>17</v>
      </c>
      <c r="AV22" s="1">
        <v>23</v>
      </c>
      <c r="AW22" s="1">
        <v>88</v>
      </c>
      <c r="AX22" s="1">
        <v>78</v>
      </c>
      <c r="AY22" s="1">
        <v>50</v>
      </c>
      <c r="AZ22" s="1">
        <v>29</v>
      </c>
      <c r="BA22" s="1">
        <v>9</v>
      </c>
      <c r="BB22" s="1">
        <v>7</v>
      </c>
      <c r="BC22" s="1">
        <v>2</v>
      </c>
    </row>
    <row r="23" spans="1:255" ht="16.5" customHeight="1">
      <c r="A23" s="2" t="s">
        <v>2</v>
      </c>
      <c r="B23" s="2"/>
      <c r="C23" s="2">
        <f t="shared" ref="C23:AH23" si="2">SUM(C13:C22)</f>
        <v>4597</v>
      </c>
      <c r="D23" s="2">
        <f t="shared" si="2"/>
        <v>11</v>
      </c>
      <c r="E23" s="2">
        <f t="shared" si="2"/>
        <v>10</v>
      </c>
      <c r="F23" s="2">
        <f t="shared" si="2"/>
        <v>7</v>
      </c>
      <c r="G23" s="2">
        <f t="shared" si="2"/>
        <v>10</v>
      </c>
      <c r="H23" s="2">
        <f t="shared" si="2"/>
        <v>12</v>
      </c>
      <c r="I23" s="2">
        <f t="shared" si="2"/>
        <v>6</v>
      </c>
      <c r="J23" s="2">
        <f t="shared" si="2"/>
        <v>10</v>
      </c>
      <c r="K23" s="2">
        <f t="shared" si="2"/>
        <v>6</v>
      </c>
      <c r="L23" s="2">
        <f t="shared" si="2"/>
        <v>9</v>
      </c>
      <c r="M23" s="2">
        <f t="shared" si="2"/>
        <v>7</v>
      </c>
      <c r="N23" s="2">
        <f t="shared" si="2"/>
        <v>7</v>
      </c>
      <c r="O23" s="2">
        <f t="shared" si="2"/>
        <v>8</v>
      </c>
      <c r="P23" s="2">
        <f t="shared" si="2"/>
        <v>7</v>
      </c>
      <c r="Q23" s="2">
        <f t="shared" si="2"/>
        <v>16</v>
      </c>
      <c r="R23" s="2">
        <f t="shared" si="2"/>
        <v>6</v>
      </c>
      <c r="S23" s="2">
        <f t="shared" si="2"/>
        <v>13</v>
      </c>
      <c r="T23" s="2">
        <f t="shared" si="2"/>
        <v>19</v>
      </c>
      <c r="U23" s="2">
        <f t="shared" si="2"/>
        <v>21</v>
      </c>
      <c r="V23" s="2">
        <f t="shared" si="2"/>
        <v>22</v>
      </c>
      <c r="W23" s="2">
        <f t="shared" si="2"/>
        <v>19</v>
      </c>
      <c r="X23" s="2">
        <f t="shared" si="2"/>
        <v>19</v>
      </c>
      <c r="Y23" s="2">
        <f t="shared" si="2"/>
        <v>19</v>
      </c>
      <c r="Z23" s="2">
        <f t="shared" si="2"/>
        <v>25</v>
      </c>
      <c r="AA23" s="2">
        <f t="shared" si="2"/>
        <v>30</v>
      </c>
      <c r="AB23" s="2">
        <f t="shared" si="2"/>
        <v>31</v>
      </c>
      <c r="AC23" s="2">
        <f t="shared" si="2"/>
        <v>34</v>
      </c>
      <c r="AD23" s="2">
        <f t="shared" si="2"/>
        <v>16</v>
      </c>
      <c r="AE23" s="2">
        <f t="shared" si="2"/>
        <v>18</v>
      </c>
      <c r="AF23" s="2">
        <f t="shared" si="2"/>
        <v>17</v>
      </c>
      <c r="AG23" s="2">
        <f t="shared" si="2"/>
        <v>17</v>
      </c>
      <c r="AH23" s="2">
        <f t="shared" si="2"/>
        <v>20</v>
      </c>
      <c r="AI23" s="2">
        <f t="shared" ref="AI23:BC23" si="3">SUM(AI13:AI22)</f>
        <v>10</v>
      </c>
      <c r="AJ23" s="2">
        <f t="shared" si="3"/>
        <v>15</v>
      </c>
      <c r="AK23" s="2">
        <f t="shared" si="3"/>
        <v>26</v>
      </c>
      <c r="AL23" s="2">
        <f t="shared" si="3"/>
        <v>25</v>
      </c>
      <c r="AM23" s="2">
        <f t="shared" si="3"/>
        <v>40</v>
      </c>
      <c r="AN23" s="2">
        <f t="shared" si="3"/>
        <v>30</v>
      </c>
      <c r="AO23" s="2">
        <f t="shared" si="3"/>
        <v>24</v>
      </c>
      <c r="AP23" s="2">
        <f t="shared" si="3"/>
        <v>42</v>
      </c>
      <c r="AQ23" s="2">
        <f t="shared" si="3"/>
        <v>25</v>
      </c>
      <c r="AR23" s="2">
        <f t="shared" si="3"/>
        <v>68</v>
      </c>
      <c r="AS23" s="2">
        <f t="shared" si="3"/>
        <v>194</v>
      </c>
      <c r="AT23" s="2">
        <f t="shared" si="3"/>
        <v>428</v>
      </c>
      <c r="AU23" s="2">
        <f t="shared" si="3"/>
        <v>566</v>
      </c>
      <c r="AV23" s="2">
        <f t="shared" si="3"/>
        <v>736</v>
      </c>
      <c r="AW23" s="2">
        <f t="shared" si="3"/>
        <v>769</v>
      </c>
      <c r="AX23" s="2">
        <f t="shared" si="3"/>
        <v>526</v>
      </c>
      <c r="AY23" s="2">
        <f t="shared" si="3"/>
        <v>313</v>
      </c>
      <c r="AZ23" s="2">
        <f t="shared" si="3"/>
        <v>156</v>
      </c>
      <c r="BA23" s="2">
        <f t="shared" si="3"/>
        <v>75</v>
      </c>
      <c r="BB23" s="2">
        <f t="shared" si="3"/>
        <v>40</v>
      </c>
      <c r="BC23" s="2">
        <f>SUM(BC13:BC22)</f>
        <v>17</v>
      </c>
      <c r="BD23" s="2">
        <f>SUM(BD13:BD22)</f>
        <v>0</v>
      </c>
    </row>
    <row r="24" spans="1:255" ht="16.5" customHeight="1">
      <c r="A24" s="4" t="s">
        <v>57</v>
      </c>
      <c r="B24" s="4">
        <v>2016</v>
      </c>
      <c r="C24" s="4">
        <v>2340</v>
      </c>
      <c r="D24" s="5">
        <v>2</v>
      </c>
      <c r="E24" s="4">
        <v>7</v>
      </c>
      <c r="F24" s="4">
        <v>2</v>
      </c>
      <c r="G24" s="4">
        <v>4</v>
      </c>
      <c r="H24" s="4">
        <v>1</v>
      </c>
      <c r="I24" s="4">
        <v>1</v>
      </c>
      <c r="J24" s="4">
        <v>0</v>
      </c>
      <c r="K24" s="4">
        <v>1</v>
      </c>
      <c r="L24" s="4">
        <v>3</v>
      </c>
      <c r="M24" s="4">
        <v>0</v>
      </c>
      <c r="N24" s="4">
        <v>4</v>
      </c>
      <c r="O24" s="4">
        <v>2</v>
      </c>
      <c r="P24" s="4">
        <v>2</v>
      </c>
      <c r="Q24" s="4">
        <v>2</v>
      </c>
      <c r="R24" s="4">
        <v>1</v>
      </c>
      <c r="S24" s="4">
        <v>1</v>
      </c>
      <c r="T24" s="4">
        <v>2</v>
      </c>
      <c r="U24" s="4">
        <v>2</v>
      </c>
      <c r="V24" s="4">
        <v>2</v>
      </c>
      <c r="W24" s="4">
        <v>3</v>
      </c>
      <c r="X24" s="4">
        <v>2</v>
      </c>
      <c r="Y24" s="4">
        <v>3</v>
      </c>
      <c r="Z24" s="4">
        <v>1</v>
      </c>
      <c r="AA24" s="4">
        <v>1</v>
      </c>
      <c r="AB24" s="4">
        <v>1</v>
      </c>
      <c r="AC24" s="4">
        <v>3</v>
      </c>
      <c r="AD24" s="4">
        <v>4</v>
      </c>
      <c r="AE24" s="4">
        <v>3</v>
      </c>
      <c r="AF24" s="4">
        <v>2</v>
      </c>
      <c r="AG24" s="4">
        <v>2</v>
      </c>
      <c r="AH24" s="4">
        <v>6</v>
      </c>
      <c r="AI24" s="4">
        <v>1</v>
      </c>
      <c r="AJ24" s="4">
        <v>6</v>
      </c>
      <c r="AK24" s="4">
        <v>2</v>
      </c>
      <c r="AL24" s="4">
        <v>3</v>
      </c>
      <c r="AM24" s="4">
        <v>4</v>
      </c>
      <c r="AN24" s="4">
        <v>7</v>
      </c>
      <c r="AO24" s="4">
        <v>7</v>
      </c>
      <c r="AP24" s="4">
        <v>8</v>
      </c>
      <c r="AQ24" s="4">
        <v>10</v>
      </c>
      <c r="AR24" s="4">
        <v>21</v>
      </c>
      <c r="AS24" s="4">
        <v>47</v>
      </c>
      <c r="AT24" s="4">
        <v>68</v>
      </c>
      <c r="AU24" s="4">
        <v>189</v>
      </c>
      <c r="AV24" s="4">
        <v>487</v>
      </c>
      <c r="AW24" s="4">
        <v>562</v>
      </c>
      <c r="AX24" s="4">
        <v>333</v>
      </c>
      <c r="AY24" s="4">
        <v>238</v>
      </c>
      <c r="AZ24" s="4">
        <v>166</v>
      </c>
      <c r="BA24" s="4">
        <v>66</v>
      </c>
      <c r="BB24" s="4">
        <v>27</v>
      </c>
      <c r="BC24" s="4">
        <v>13</v>
      </c>
      <c r="BD24" s="4">
        <v>5</v>
      </c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  <c r="HI24" s="4"/>
      <c r="HJ24" s="4"/>
      <c r="HK24" s="4"/>
      <c r="HL24" s="4"/>
      <c r="HM24" s="4"/>
      <c r="HN24" s="4"/>
      <c r="HO24" s="4"/>
      <c r="HP24" s="4"/>
      <c r="HQ24" s="4"/>
      <c r="HR24" s="4"/>
      <c r="HS24" s="4"/>
      <c r="HT24" s="4"/>
      <c r="HU24" s="4"/>
      <c r="HV24" s="4"/>
      <c r="HW24" s="4"/>
      <c r="HX24" s="4"/>
      <c r="HY24" s="4"/>
      <c r="HZ24" s="4"/>
      <c r="IA24" s="4"/>
      <c r="IB24" s="4"/>
      <c r="IC24" s="4"/>
      <c r="ID24" s="4"/>
      <c r="IE24" s="4"/>
      <c r="IF24" s="4"/>
      <c r="IG24" s="4"/>
      <c r="IH24" s="4"/>
      <c r="II24" s="4"/>
      <c r="IJ24" s="4"/>
      <c r="IK24" s="4"/>
      <c r="IL24" s="4"/>
      <c r="IM24" s="4"/>
      <c r="IN24" s="4"/>
      <c r="IO24" s="4"/>
      <c r="IP24" s="4"/>
      <c r="IQ24" s="4"/>
      <c r="IR24" s="4"/>
      <c r="IS24" s="4"/>
      <c r="IT24" s="4"/>
      <c r="IU24" s="4"/>
    </row>
    <row r="25" spans="1:255" ht="16.5" customHeight="1">
      <c r="A25" s="3" t="s">
        <v>57</v>
      </c>
      <c r="B25" s="3">
        <v>2017</v>
      </c>
      <c r="C25" s="3">
        <v>2186</v>
      </c>
      <c r="D25" s="3">
        <v>4</v>
      </c>
      <c r="E25" s="3">
        <v>4</v>
      </c>
      <c r="F25" s="3">
        <v>2</v>
      </c>
      <c r="G25" s="3">
        <v>0</v>
      </c>
      <c r="H25" s="3">
        <v>2</v>
      </c>
      <c r="I25" s="3">
        <v>2</v>
      </c>
      <c r="J25" s="3">
        <v>4</v>
      </c>
      <c r="K25" s="3">
        <v>3</v>
      </c>
      <c r="L25" s="3">
        <v>0</v>
      </c>
      <c r="M25" s="3">
        <v>0</v>
      </c>
      <c r="N25" s="3">
        <v>1</v>
      </c>
      <c r="O25" s="3">
        <v>1</v>
      </c>
      <c r="P25" s="3">
        <v>2</v>
      </c>
      <c r="Q25" s="3">
        <v>6</v>
      </c>
      <c r="R25" s="3">
        <v>8</v>
      </c>
      <c r="S25" s="3">
        <v>1</v>
      </c>
      <c r="T25" s="3">
        <v>4</v>
      </c>
      <c r="U25" s="3">
        <v>3</v>
      </c>
      <c r="V25" s="3">
        <v>15</v>
      </c>
      <c r="W25" s="3">
        <v>10</v>
      </c>
      <c r="X25" s="3">
        <v>5</v>
      </c>
      <c r="Y25" s="3">
        <v>10</v>
      </c>
      <c r="Z25" s="3">
        <v>10</v>
      </c>
      <c r="AA25" s="3">
        <v>15</v>
      </c>
      <c r="AB25" s="3">
        <v>12</v>
      </c>
      <c r="AC25" s="3">
        <v>9</v>
      </c>
      <c r="AD25" s="3">
        <v>11</v>
      </c>
      <c r="AE25" s="3">
        <v>11</v>
      </c>
      <c r="AF25" s="3">
        <v>17</v>
      </c>
      <c r="AG25" s="3">
        <v>10</v>
      </c>
      <c r="AH25" s="3">
        <v>9</v>
      </c>
      <c r="AI25" s="3">
        <v>6</v>
      </c>
      <c r="AJ25" s="3">
        <v>7</v>
      </c>
      <c r="AK25" s="3">
        <v>10</v>
      </c>
      <c r="AL25" s="3">
        <v>9</v>
      </c>
      <c r="AM25" s="3">
        <v>9</v>
      </c>
      <c r="AN25" s="3">
        <v>11</v>
      </c>
      <c r="AO25" s="3">
        <v>16</v>
      </c>
      <c r="AP25" s="3">
        <v>20</v>
      </c>
      <c r="AQ25" s="3">
        <v>16</v>
      </c>
      <c r="AR25" s="3">
        <v>67</v>
      </c>
      <c r="AS25" s="3">
        <v>129</v>
      </c>
      <c r="AT25" s="3">
        <v>201</v>
      </c>
      <c r="AU25" s="3">
        <v>246</v>
      </c>
      <c r="AV25" s="3">
        <v>388</v>
      </c>
      <c r="AW25" s="3">
        <v>387</v>
      </c>
      <c r="AX25" s="3">
        <v>226</v>
      </c>
      <c r="AY25" s="3">
        <v>124</v>
      </c>
      <c r="AZ25" s="3">
        <v>45</v>
      </c>
      <c r="BA25" s="3">
        <v>22</v>
      </c>
      <c r="BB25" s="3">
        <v>41</v>
      </c>
      <c r="BC25" s="3">
        <v>15</v>
      </c>
    </row>
    <row r="26" spans="1:255" ht="16.5" customHeight="1">
      <c r="A26" s="1" t="s">
        <v>57</v>
      </c>
      <c r="B26" s="1">
        <v>2018</v>
      </c>
      <c r="C26" s="1">
        <v>1237</v>
      </c>
      <c r="D26" s="1">
        <v>9</v>
      </c>
      <c r="E26" s="1">
        <v>13</v>
      </c>
      <c r="F26" s="1">
        <v>2</v>
      </c>
      <c r="G26" s="1">
        <v>3</v>
      </c>
      <c r="H26" s="1">
        <v>7</v>
      </c>
      <c r="I26" s="1">
        <v>2</v>
      </c>
      <c r="J26" s="1">
        <v>0</v>
      </c>
      <c r="K26" s="1">
        <v>0</v>
      </c>
      <c r="L26" s="1">
        <v>0</v>
      </c>
      <c r="M26" s="1">
        <v>0</v>
      </c>
      <c r="N26" s="1">
        <v>2</v>
      </c>
      <c r="O26" s="1">
        <v>1</v>
      </c>
      <c r="P26" s="1">
        <v>4</v>
      </c>
      <c r="Q26" s="1">
        <v>2</v>
      </c>
      <c r="R26" s="1">
        <v>2</v>
      </c>
      <c r="S26" s="1">
        <v>2</v>
      </c>
      <c r="T26" s="1">
        <v>8</v>
      </c>
      <c r="U26" s="1">
        <v>1</v>
      </c>
      <c r="V26" s="1">
        <v>5</v>
      </c>
      <c r="W26" s="1">
        <v>10</v>
      </c>
      <c r="X26" s="1">
        <v>7</v>
      </c>
      <c r="Y26" s="1">
        <v>16</v>
      </c>
      <c r="Z26" s="1">
        <v>11</v>
      </c>
      <c r="AA26" s="1">
        <v>9</v>
      </c>
      <c r="AB26" s="1">
        <v>6</v>
      </c>
      <c r="AC26" s="1">
        <v>7</v>
      </c>
      <c r="AD26" s="1">
        <v>8</v>
      </c>
      <c r="AE26" s="1">
        <v>7</v>
      </c>
      <c r="AF26" s="1">
        <v>6</v>
      </c>
      <c r="AG26" s="1">
        <v>7</v>
      </c>
      <c r="AH26" s="1">
        <v>9</v>
      </c>
      <c r="AI26" s="1">
        <v>5</v>
      </c>
      <c r="AJ26" s="1">
        <v>2</v>
      </c>
      <c r="AK26" s="1">
        <v>5</v>
      </c>
      <c r="AL26" s="1">
        <v>2</v>
      </c>
      <c r="AM26" s="1">
        <v>6</v>
      </c>
      <c r="AN26" s="1">
        <v>10</v>
      </c>
      <c r="AO26" s="1">
        <v>16</v>
      </c>
      <c r="AP26" s="1">
        <v>15</v>
      </c>
      <c r="AQ26" s="1">
        <v>13</v>
      </c>
      <c r="AR26" s="1">
        <v>31</v>
      </c>
      <c r="AS26" s="1">
        <v>75</v>
      </c>
      <c r="AT26" s="1">
        <v>106</v>
      </c>
      <c r="AU26" s="1">
        <v>160</v>
      </c>
      <c r="AV26" s="1">
        <v>214</v>
      </c>
      <c r="AW26" s="1">
        <v>145</v>
      </c>
      <c r="AX26" s="1">
        <v>104</v>
      </c>
      <c r="AY26" s="1">
        <v>94</v>
      </c>
      <c r="AZ26" s="1">
        <v>41</v>
      </c>
      <c r="BA26" s="1">
        <v>17</v>
      </c>
      <c r="BB26" s="1">
        <v>6</v>
      </c>
      <c r="BC26" s="1">
        <v>4</v>
      </c>
    </row>
    <row r="27" spans="1:255" ht="16.5" customHeight="1">
      <c r="A27" s="1" t="s">
        <v>57</v>
      </c>
      <c r="B27" s="1">
        <v>2019</v>
      </c>
      <c r="C27" s="1">
        <v>837</v>
      </c>
      <c r="D27" s="1">
        <v>3</v>
      </c>
      <c r="E27" s="1">
        <v>3</v>
      </c>
      <c r="F27" s="1">
        <v>1</v>
      </c>
      <c r="G27" s="1">
        <v>5</v>
      </c>
      <c r="H27" s="1">
        <v>1</v>
      </c>
      <c r="I27" s="1">
        <v>1</v>
      </c>
      <c r="J27" s="1">
        <v>3</v>
      </c>
      <c r="K27" s="1">
        <v>1</v>
      </c>
      <c r="L27" s="1">
        <v>1</v>
      </c>
      <c r="M27" s="1">
        <v>2</v>
      </c>
      <c r="N27" s="1">
        <v>3</v>
      </c>
      <c r="O27" s="1">
        <v>4</v>
      </c>
      <c r="P27" s="1">
        <v>2</v>
      </c>
      <c r="Q27" s="1">
        <v>2</v>
      </c>
      <c r="R27" s="1">
        <v>2</v>
      </c>
      <c r="S27" s="1">
        <v>5</v>
      </c>
      <c r="T27" s="1">
        <v>2</v>
      </c>
      <c r="U27" s="1">
        <v>5</v>
      </c>
      <c r="V27" s="1">
        <v>3</v>
      </c>
      <c r="W27" s="1">
        <v>8</v>
      </c>
      <c r="X27" s="1">
        <v>7</v>
      </c>
      <c r="Y27" s="1">
        <v>4</v>
      </c>
      <c r="Z27" s="1">
        <v>1</v>
      </c>
      <c r="AA27" s="1">
        <v>6</v>
      </c>
      <c r="AB27" s="1">
        <v>9</v>
      </c>
      <c r="AC27" s="1">
        <v>4</v>
      </c>
      <c r="AD27" s="1">
        <v>4</v>
      </c>
      <c r="AE27" s="1">
        <v>4</v>
      </c>
      <c r="AF27" s="1">
        <v>2</v>
      </c>
      <c r="AG27" s="1">
        <v>8</v>
      </c>
      <c r="AH27" s="1">
        <v>8</v>
      </c>
      <c r="AI27" s="1">
        <v>5</v>
      </c>
      <c r="AJ27" s="1">
        <v>5</v>
      </c>
      <c r="AK27" s="1">
        <v>6</v>
      </c>
      <c r="AL27" s="1">
        <v>6</v>
      </c>
      <c r="AM27" s="1">
        <v>5</v>
      </c>
      <c r="AN27" s="1">
        <v>5</v>
      </c>
      <c r="AO27" s="1">
        <v>8</v>
      </c>
      <c r="AP27" s="1">
        <v>7</v>
      </c>
      <c r="AQ27" s="1">
        <v>5</v>
      </c>
      <c r="AR27" s="1">
        <v>10</v>
      </c>
      <c r="AS27" s="1">
        <v>25</v>
      </c>
      <c r="AT27" s="1">
        <v>27</v>
      </c>
      <c r="AU27" s="1">
        <v>50</v>
      </c>
      <c r="AV27" s="1">
        <v>129</v>
      </c>
      <c r="AW27" s="1">
        <v>132</v>
      </c>
      <c r="AX27" s="1">
        <v>116</v>
      </c>
      <c r="AY27" s="1">
        <v>90</v>
      </c>
      <c r="AZ27" s="1">
        <v>51</v>
      </c>
      <c r="BA27" s="1">
        <v>23</v>
      </c>
      <c r="BB27" s="1">
        <v>13</v>
      </c>
      <c r="BC27" s="1">
        <v>5</v>
      </c>
    </row>
    <row r="28" spans="1:255" ht="16.5" customHeight="1">
      <c r="A28" s="1" t="s">
        <v>57</v>
      </c>
      <c r="B28" s="1">
        <v>2020</v>
      </c>
      <c r="C28" s="1">
        <v>1064</v>
      </c>
      <c r="D28" s="1">
        <v>6</v>
      </c>
      <c r="E28" s="1">
        <v>3</v>
      </c>
      <c r="F28" s="1">
        <v>0</v>
      </c>
      <c r="G28" s="1">
        <v>1</v>
      </c>
      <c r="H28" s="1">
        <v>0</v>
      </c>
      <c r="I28" s="1">
        <v>1</v>
      </c>
      <c r="J28" s="1">
        <v>0</v>
      </c>
      <c r="K28" s="1">
        <v>0</v>
      </c>
      <c r="L28" s="1">
        <v>1</v>
      </c>
      <c r="M28" s="1">
        <v>0</v>
      </c>
      <c r="N28" s="1">
        <v>3</v>
      </c>
      <c r="O28" s="1">
        <v>0</v>
      </c>
      <c r="P28" s="1">
        <v>2</v>
      </c>
      <c r="Q28" s="1">
        <v>1</v>
      </c>
      <c r="R28" s="1">
        <v>2</v>
      </c>
      <c r="S28" s="1">
        <v>1</v>
      </c>
      <c r="T28" s="1">
        <v>4</v>
      </c>
      <c r="U28" s="1">
        <v>0</v>
      </c>
      <c r="V28" s="1">
        <v>2</v>
      </c>
      <c r="W28" s="1">
        <v>4</v>
      </c>
      <c r="X28" s="1">
        <v>2</v>
      </c>
      <c r="Y28" s="1">
        <v>5</v>
      </c>
      <c r="Z28" s="1">
        <v>1</v>
      </c>
      <c r="AA28" s="1">
        <v>1</v>
      </c>
      <c r="AB28" s="1">
        <v>1</v>
      </c>
      <c r="AC28" s="1">
        <v>6</v>
      </c>
      <c r="AD28" s="1">
        <v>3</v>
      </c>
      <c r="AE28" s="1">
        <v>4</v>
      </c>
      <c r="AF28" s="1">
        <v>4</v>
      </c>
      <c r="AG28" s="1">
        <v>10</v>
      </c>
      <c r="AH28" s="1">
        <v>4</v>
      </c>
      <c r="AI28" s="1">
        <v>1</v>
      </c>
      <c r="AJ28" s="1">
        <v>2</v>
      </c>
      <c r="AK28" s="1">
        <v>2</v>
      </c>
      <c r="AL28" s="1">
        <v>2</v>
      </c>
      <c r="AM28" s="1">
        <v>2</v>
      </c>
      <c r="AN28" s="1">
        <v>5</v>
      </c>
      <c r="AO28" s="1">
        <v>2</v>
      </c>
      <c r="AP28" s="1">
        <v>5</v>
      </c>
      <c r="AQ28" s="1">
        <v>2</v>
      </c>
      <c r="AR28" s="1">
        <v>9</v>
      </c>
      <c r="AS28" s="1">
        <v>20</v>
      </c>
      <c r="AT28" s="1">
        <v>57</v>
      </c>
      <c r="AU28" s="1">
        <v>88</v>
      </c>
      <c r="AV28" s="1">
        <v>152</v>
      </c>
      <c r="AW28" s="1">
        <v>200</v>
      </c>
      <c r="AX28" s="1">
        <v>175</v>
      </c>
      <c r="AY28" s="1">
        <v>118</v>
      </c>
      <c r="AZ28" s="1">
        <v>73</v>
      </c>
      <c r="BA28" s="1">
        <v>49</v>
      </c>
      <c r="BB28" s="1">
        <v>22</v>
      </c>
      <c r="BC28" s="1">
        <v>6</v>
      </c>
    </row>
    <row r="29" spans="1:255" ht="16.5" customHeight="1">
      <c r="A29" s="1" t="s">
        <v>57</v>
      </c>
      <c r="B29" s="1">
        <v>2021</v>
      </c>
      <c r="C29" s="1">
        <v>1245</v>
      </c>
      <c r="D29" s="1">
        <v>4</v>
      </c>
      <c r="E29" s="1">
        <v>0</v>
      </c>
      <c r="F29" s="1">
        <v>2</v>
      </c>
      <c r="G29" s="1">
        <v>1</v>
      </c>
      <c r="H29" s="1">
        <v>2</v>
      </c>
      <c r="I29" s="1">
        <v>0</v>
      </c>
      <c r="J29" s="1">
        <v>1</v>
      </c>
      <c r="K29" s="1">
        <v>1</v>
      </c>
      <c r="L29" s="1">
        <v>0</v>
      </c>
      <c r="M29" s="1">
        <v>0</v>
      </c>
      <c r="N29" s="1">
        <v>1</v>
      </c>
      <c r="O29" s="1">
        <v>2</v>
      </c>
      <c r="P29" s="1">
        <v>0</v>
      </c>
      <c r="Q29" s="1">
        <v>4</v>
      </c>
      <c r="R29" s="1">
        <v>3</v>
      </c>
      <c r="S29" s="1">
        <v>2</v>
      </c>
      <c r="T29" s="1">
        <v>4</v>
      </c>
      <c r="U29" s="1">
        <v>3</v>
      </c>
      <c r="V29" s="1">
        <v>1</v>
      </c>
      <c r="W29" s="1">
        <v>4</v>
      </c>
      <c r="X29" s="1">
        <v>2</v>
      </c>
      <c r="Y29" s="1">
        <v>3</v>
      </c>
      <c r="Z29" s="1">
        <v>8</v>
      </c>
      <c r="AA29" s="1">
        <v>1</v>
      </c>
      <c r="AB29" s="1">
        <v>2</v>
      </c>
      <c r="AC29" s="1">
        <v>3</v>
      </c>
      <c r="AD29" s="1">
        <v>7</v>
      </c>
      <c r="AE29" s="1">
        <v>3</v>
      </c>
      <c r="AF29" s="1">
        <v>3</v>
      </c>
      <c r="AG29" s="1">
        <v>3</v>
      </c>
      <c r="AH29" s="1">
        <v>5</v>
      </c>
      <c r="AI29" s="1">
        <v>2</v>
      </c>
      <c r="AJ29" s="1">
        <v>3</v>
      </c>
      <c r="AK29" s="1">
        <v>3</v>
      </c>
      <c r="AL29" s="1">
        <v>6</v>
      </c>
      <c r="AM29" s="1">
        <v>4</v>
      </c>
      <c r="AN29" s="1">
        <v>2</v>
      </c>
      <c r="AO29" s="1">
        <v>6</v>
      </c>
      <c r="AP29" s="1">
        <v>3</v>
      </c>
      <c r="AQ29" s="1">
        <v>6</v>
      </c>
      <c r="AR29" s="1">
        <v>20</v>
      </c>
      <c r="AS29" s="1">
        <v>50</v>
      </c>
      <c r="AT29" s="1">
        <v>75</v>
      </c>
      <c r="AU29" s="1">
        <v>107</v>
      </c>
      <c r="AV29" s="1">
        <v>102</v>
      </c>
      <c r="AW29" s="1">
        <v>188</v>
      </c>
      <c r="AX29" s="1">
        <v>285</v>
      </c>
      <c r="AY29" s="1">
        <v>161</v>
      </c>
      <c r="AZ29" s="1">
        <v>76</v>
      </c>
      <c r="BA29" s="1">
        <v>43</v>
      </c>
      <c r="BB29" s="1">
        <v>16</v>
      </c>
      <c r="BC29" s="1">
        <v>12</v>
      </c>
    </row>
    <row r="30" spans="1:255" ht="16.5" customHeight="1">
      <c r="A30" s="1" t="s">
        <v>57</v>
      </c>
      <c r="B30" s="1">
        <v>2022</v>
      </c>
      <c r="C30" s="1">
        <v>1337</v>
      </c>
      <c r="D30" s="1">
        <v>5</v>
      </c>
      <c r="E30" s="1">
        <v>8</v>
      </c>
      <c r="F30" s="1">
        <v>5</v>
      </c>
      <c r="G30" s="1">
        <v>7</v>
      </c>
      <c r="H30" s="1">
        <v>6</v>
      </c>
      <c r="I30" s="1">
        <v>3</v>
      </c>
      <c r="J30" s="1">
        <v>7</v>
      </c>
      <c r="K30" s="1">
        <v>2</v>
      </c>
      <c r="L30" s="1">
        <v>0</v>
      </c>
      <c r="M30" s="1">
        <v>0</v>
      </c>
      <c r="N30" s="1">
        <v>1</v>
      </c>
      <c r="O30" s="1">
        <v>1</v>
      </c>
      <c r="P30" s="1">
        <v>1</v>
      </c>
      <c r="Q30" s="1">
        <v>1</v>
      </c>
      <c r="R30" s="1">
        <v>3</v>
      </c>
      <c r="S30" s="1">
        <v>6</v>
      </c>
      <c r="T30" s="1">
        <v>5</v>
      </c>
      <c r="U30" s="1">
        <v>4</v>
      </c>
      <c r="V30" s="1">
        <v>5</v>
      </c>
      <c r="W30" s="1">
        <v>2</v>
      </c>
      <c r="X30" s="1">
        <v>1</v>
      </c>
      <c r="Y30" s="1">
        <v>6</v>
      </c>
      <c r="Z30" s="1">
        <v>2</v>
      </c>
      <c r="AA30" s="1">
        <v>5</v>
      </c>
      <c r="AB30" s="1">
        <v>6</v>
      </c>
      <c r="AC30" s="1">
        <v>7</v>
      </c>
      <c r="AD30" s="1">
        <v>7</v>
      </c>
      <c r="AE30" s="1">
        <v>12</v>
      </c>
      <c r="AF30" s="1">
        <v>7</v>
      </c>
      <c r="AG30" s="1">
        <v>11</v>
      </c>
      <c r="AH30" s="1">
        <v>11</v>
      </c>
      <c r="AI30" s="1">
        <v>12</v>
      </c>
      <c r="AJ30" s="1">
        <v>8</v>
      </c>
      <c r="AK30" s="1">
        <v>5</v>
      </c>
      <c r="AL30" s="1">
        <v>3</v>
      </c>
      <c r="AM30" s="1">
        <v>5</v>
      </c>
      <c r="AN30" s="1">
        <v>7</v>
      </c>
      <c r="AO30" s="1">
        <v>15</v>
      </c>
      <c r="AP30" s="1">
        <v>13</v>
      </c>
      <c r="AQ30" s="1">
        <v>9</v>
      </c>
      <c r="AR30" s="1">
        <v>9</v>
      </c>
      <c r="AS30" s="1">
        <v>29</v>
      </c>
      <c r="AT30" s="1">
        <v>101</v>
      </c>
      <c r="AU30" s="1">
        <v>148</v>
      </c>
      <c r="AV30" s="1">
        <v>253</v>
      </c>
      <c r="AW30" s="1">
        <v>220</v>
      </c>
      <c r="AX30" s="1">
        <v>148</v>
      </c>
      <c r="AY30" s="1">
        <v>94</v>
      </c>
      <c r="AZ30" s="1">
        <v>41</v>
      </c>
      <c r="BA30" s="1">
        <v>38</v>
      </c>
      <c r="BB30" s="1">
        <v>19</v>
      </c>
      <c r="BC30" s="1">
        <v>9</v>
      </c>
    </row>
    <row r="31" spans="1:255" ht="16.5" customHeight="1">
      <c r="A31" s="1" t="s">
        <v>57</v>
      </c>
      <c r="B31" s="1">
        <v>2023</v>
      </c>
      <c r="C31" s="1">
        <v>1087</v>
      </c>
      <c r="D31" s="1">
        <v>8</v>
      </c>
      <c r="E31" s="1">
        <v>9</v>
      </c>
      <c r="F31" s="1">
        <v>9</v>
      </c>
      <c r="G31" s="1">
        <v>5</v>
      </c>
      <c r="H31" s="1">
        <v>10</v>
      </c>
      <c r="I31" s="1">
        <v>5</v>
      </c>
      <c r="J31" s="1">
        <v>3</v>
      </c>
      <c r="K31" s="1">
        <v>1</v>
      </c>
      <c r="L31" s="1">
        <v>1</v>
      </c>
      <c r="M31" s="1">
        <v>4</v>
      </c>
      <c r="N31" s="1">
        <v>2</v>
      </c>
      <c r="O31" s="1">
        <v>2</v>
      </c>
      <c r="P31" s="1">
        <v>4</v>
      </c>
      <c r="Q31" s="1">
        <v>4</v>
      </c>
      <c r="R31" s="1">
        <v>4</v>
      </c>
      <c r="S31" s="1">
        <v>0</v>
      </c>
      <c r="T31" s="1">
        <v>6</v>
      </c>
      <c r="U31" s="1">
        <v>2</v>
      </c>
      <c r="V31" s="1">
        <v>7</v>
      </c>
      <c r="W31" s="1">
        <v>6</v>
      </c>
      <c r="X31" s="1">
        <v>5</v>
      </c>
      <c r="Y31" s="1">
        <v>7</v>
      </c>
      <c r="Z31" s="1">
        <v>4</v>
      </c>
      <c r="AA31" s="1">
        <v>12</v>
      </c>
      <c r="AB31" s="1">
        <v>7</v>
      </c>
      <c r="AC31" s="1">
        <v>4</v>
      </c>
      <c r="AD31" s="1">
        <v>4</v>
      </c>
      <c r="AE31" s="1">
        <v>11</v>
      </c>
      <c r="AF31" s="1">
        <v>5</v>
      </c>
      <c r="AG31" s="1">
        <v>8</v>
      </c>
      <c r="AH31" s="1">
        <v>13</v>
      </c>
      <c r="AI31" s="1">
        <v>2</v>
      </c>
      <c r="AJ31" s="1">
        <v>5</v>
      </c>
      <c r="AK31" s="1">
        <v>8</v>
      </c>
      <c r="AL31" s="1">
        <v>7</v>
      </c>
      <c r="AM31" s="1">
        <v>7</v>
      </c>
      <c r="AN31" s="1">
        <v>6</v>
      </c>
      <c r="AO31" s="1">
        <v>9</v>
      </c>
      <c r="AP31" s="1">
        <v>9</v>
      </c>
      <c r="AQ31" s="1">
        <v>8</v>
      </c>
      <c r="AR31" s="1">
        <v>12</v>
      </c>
      <c r="AS31" s="1">
        <v>29</v>
      </c>
      <c r="AT31" s="1">
        <v>60</v>
      </c>
      <c r="AU31" s="1">
        <v>121</v>
      </c>
      <c r="AV31" s="1">
        <v>150</v>
      </c>
      <c r="AW31" s="1">
        <v>167</v>
      </c>
      <c r="AX31" s="1">
        <v>135</v>
      </c>
      <c r="AY31" s="1">
        <v>97</v>
      </c>
      <c r="AZ31" s="1">
        <v>34</v>
      </c>
      <c r="BA31" s="1">
        <v>29</v>
      </c>
      <c r="BB31" s="1">
        <v>13</v>
      </c>
      <c r="BC31" s="1">
        <v>7</v>
      </c>
    </row>
    <row r="32" spans="1:255" ht="16.5" customHeight="1">
      <c r="A32" s="1" t="s">
        <v>57</v>
      </c>
      <c r="B32" s="1">
        <v>2024</v>
      </c>
      <c r="C32" s="1">
        <v>1147</v>
      </c>
      <c r="D32" s="1">
        <v>12</v>
      </c>
      <c r="E32" s="1">
        <v>12</v>
      </c>
      <c r="F32" s="1">
        <v>10</v>
      </c>
      <c r="G32" s="1">
        <v>7</v>
      </c>
      <c r="H32" s="1">
        <v>5</v>
      </c>
      <c r="I32" s="1">
        <v>2</v>
      </c>
      <c r="J32" s="1">
        <v>8</v>
      </c>
      <c r="K32" s="1">
        <v>0</v>
      </c>
      <c r="L32" s="1">
        <v>5</v>
      </c>
      <c r="M32" s="1">
        <v>2</v>
      </c>
      <c r="N32" s="1">
        <v>2</v>
      </c>
      <c r="O32" s="1">
        <v>6</v>
      </c>
      <c r="P32" s="1">
        <v>7</v>
      </c>
      <c r="Q32" s="1">
        <v>5</v>
      </c>
      <c r="R32" s="1">
        <v>6</v>
      </c>
      <c r="S32" s="1">
        <v>8</v>
      </c>
      <c r="T32" s="1">
        <v>7</v>
      </c>
      <c r="U32" s="1">
        <v>5</v>
      </c>
      <c r="V32" s="1">
        <v>7</v>
      </c>
      <c r="W32" s="1">
        <v>4</v>
      </c>
      <c r="X32" s="1">
        <v>9</v>
      </c>
      <c r="Y32" s="1">
        <v>7</v>
      </c>
      <c r="Z32" s="1">
        <v>9</v>
      </c>
      <c r="AA32" s="1">
        <v>6</v>
      </c>
      <c r="AB32" s="1">
        <v>7</v>
      </c>
      <c r="AC32" s="1">
        <v>4</v>
      </c>
      <c r="AD32" s="1">
        <v>5</v>
      </c>
      <c r="AE32" s="1">
        <v>5</v>
      </c>
      <c r="AF32" s="1">
        <v>10</v>
      </c>
      <c r="AG32" s="1">
        <v>7</v>
      </c>
      <c r="AH32" s="1">
        <v>3</v>
      </c>
      <c r="AI32" s="1">
        <v>9</v>
      </c>
      <c r="AJ32" s="1">
        <v>7</v>
      </c>
      <c r="AK32" s="1">
        <v>3</v>
      </c>
      <c r="AL32" s="1">
        <v>7</v>
      </c>
      <c r="AM32" s="1">
        <v>6</v>
      </c>
      <c r="AN32" s="1">
        <v>6</v>
      </c>
      <c r="AO32" s="1">
        <v>1</v>
      </c>
      <c r="AP32" s="1">
        <v>1</v>
      </c>
      <c r="AQ32" s="1">
        <v>2</v>
      </c>
      <c r="AR32" s="1">
        <v>4</v>
      </c>
      <c r="AS32" s="1">
        <v>13</v>
      </c>
      <c r="AT32" s="1">
        <v>29</v>
      </c>
      <c r="AU32" s="1">
        <v>68</v>
      </c>
      <c r="AV32" s="1">
        <v>108</v>
      </c>
      <c r="AW32" s="1">
        <v>94</v>
      </c>
      <c r="AX32" s="1">
        <v>127</v>
      </c>
      <c r="AY32" s="1">
        <v>179</v>
      </c>
      <c r="AZ32" s="1">
        <v>188</v>
      </c>
      <c r="BA32" s="1">
        <v>60</v>
      </c>
      <c r="BB32" s="1">
        <v>28</v>
      </c>
      <c r="BC32" s="1">
        <v>15</v>
      </c>
    </row>
    <row r="33" spans="1:255" ht="16.5" customHeight="1">
      <c r="A33" s="1" t="s">
        <v>57</v>
      </c>
      <c r="B33" s="1">
        <v>2025</v>
      </c>
      <c r="C33" s="1">
        <v>503</v>
      </c>
      <c r="D33" s="1">
        <v>0</v>
      </c>
      <c r="E33" s="1">
        <v>2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1</v>
      </c>
      <c r="L33" s="1">
        <v>0</v>
      </c>
      <c r="M33" s="1">
        <v>0</v>
      </c>
      <c r="N33" s="1">
        <v>2</v>
      </c>
      <c r="O33" s="1">
        <v>0</v>
      </c>
      <c r="P33" s="1">
        <v>0</v>
      </c>
      <c r="Q33" s="1">
        <v>0</v>
      </c>
      <c r="R33" s="1">
        <v>0</v>
      </c>
      <c r="S33" s="1">
        <v>3</v>
      </c>
      <c r="T33" s="1">
        <v>2</v>
      </c>
      <c r="U33" s="1">
        <v>1</v>
      </c>
      <c r="V33" s="1">
        <v>3</v>
      </c>
      <c r="W33" s="1">
        <v>2</v>
      </c>
      <c r="X33" s="1">
        <v>2</v>
      </c>
      <c r="Y33" s="1">
        <v>3</v>
      </c>
      <c r="Z33" s="1">
        <v>3</v>
      </c>
      <c r="AA33" s="1">
        <v>4</v>
      </c>
      <c r="AB33" s="1">
        <v>4</v>
      </c>
      <c r="AC33" s="1">
        <v>2</v>
      </c>
      <c r="AD33" s="1">
        <v>1</v>
      </c>
      <c r="AE33" s="1">
        <v>1</v>
      </c>
      <c r="AF33" s="1">
        <v>3</v>
      </c>
      <c r="AG33" s="1">
        <v>1</v>
      </c>
      <c r="AH33" s="1">
        <v>2</v>
      </c>
      <c r="AI33" s="1">
        <v>2</v>
      </c>
      <c r="AJ33" s="1">
        <v>3</v>
      </c>
      <c r="AK33" s="1">
        <v>1</v>
      </c>
      <c r="AL33" s="1">
        <v>1</v>
      </c>
      <c r="AM33" s="1">
        <v>3</v>
      </c>
      <c r="AN33" s="1">
        <v>1</v>
      </c>
      <c r="AO33" s="1">
        <v>2</v>
      </c>
      <c r="AP33" s="1">
        <v>0</v>
      </c>
      <c r="AQ33" s="1">
        <v>2</v>
      </c>
      <c r="AR33" s="1">
        <v>2</v>
      </c>
      <c r="AS33" s="1">
        <v>7</v>
      </c>
      <c r="AT33" s="1">
        <v>15</v>
      </c>
      <c r="AU33" s="1">
        <v>26</v>
      </c>
      <c r="AV33" s="1">
        <v>32</v>
      </c>
      <c r="AW33" s="1">
        <v>94</v>
      </c>
      <c r="AX33" s="1">
        <v>76</v>
      </c>
      <c r="AY33" s="1">
        <v>95</v>
      </c>
      <c r="AZ33" s="1">
        <v>60</v>
      </c>
      <c r="BA33" s="1">
        <v>20</v>
      </c>
      <c r="BB33" s="1">
        <v>15</v>
      </c>
      <c r="BC33" s="1">
        <v>4</v>
      </c>
    </row>
    <row r="34" spans="1:255" ht="16.5" customHeight="1">
      <c r="A34" s="2" t="s">
        <v>2</v>
      </c>
      <c r="B34" s="2"/>
      <c r="C34" s="2">
        <f t="shared" ref="C34:AH34" si="4">SUM(C24:C33)</f>
        <v>12983</v>
      </c>
      <c r="D34" s="2">
        <f t="shared" si="4"/>
        <v>53</v>
      </c>
      <c r="E34" s="2">
        <f t="shared" si="4"/>
        <v>61</v>
      </c>
      <c r="F34" s="2">
        <f t="shared" si="4"/>
        <v>33</v>
      </c>
      <c r="G34" s="2">
        <f t="shared" si="4"/>
        <v>33</v>
      </c>
      <c r="H34" s="2">
        <f t="shared" si="4"/>
        <v>34</v>
      </c>
      <c r="I34" s="2">
        <f t="shared" si="4"/>
        <v>17</v>
      </c>
      <c r="J34" s="2">
        <f t="shared" si="4"/>
        <v>26</v>
      </c>
      <c r="K34" s="2">
        <f t="shared" si="4"/>
        <v>10</v>
      </c>
      <c r="L34" s="2">
        <f t="shared" si="4"/>
        <v>11</v>
      </c>
      <c r="M34" s="2">
        <f t="shared" si="4"/>
        <v>8</v>
      </c>
      <c r="N34" s="2">
        <f t="shared" si="4"/>
        <v>21</v>
      </c>
      <c r="O34" s="2">
        <f t="shared" si="4"/>
        <v>19</v>
      </c>
      <c r="P34" s="2">
        <f t="shared" si="4"/>
        <v>24</v>
      </c>
      <c r="Q34" s="2">
        <f t="shared" si="4"/>
        <v>27</v>
      </c>
      <c r="R34" s="2">
        <f t="shared" si="4"/>
        <v>31</v>
      </c>
      <c r="S34" s="2">
        <f t="shared" si="4"/>
        <v>29</v>
      </c>
      <c r="T34" s="2">
        <f t="shared" si="4"/>
        <v>44</v>
      </c>
      <c r="U34" s="2">
        <f t="shared" si="4"/>
        <v>26</v>
      </c>
      <c r="V34" s="2">
        <f t="shared" si="4"/>
        <v>50</v>
      </c>
      <c r="W34" s="2">
        <f t="shared" si="4"/>
        <v>53</v>
      </c>
      <c r="X34" s="2">
        <f t="shared" si="4"/>
        <v>42</v>
      </c>
      <c r="Y34" s="2">
        <f t="shared" si="4"/>
        <v>64</v>
      </c>
      <c r="Z34" s="2">
        <f t="shared" si="4"/>
        <v>50</v>
      </c>
      <c r="AA34" s="2">
        <f t="shared" si="4"/>
        <v>60</v>
      </c>
      <c r="AB34" s="2">
        <f t="shared" si="4"/>
        <v>55</v>
      </c>
      <c r="AC34" s="2">
        <f t="shared" si="4"/>
        <v>49</v>
      </c>
      <c r="AD34" s="2">
        <f t="shared" si="4"/>
        <v>54</v>
      </c>
      <c r="AE34" s="2">
        <f t="shared" si="4"/>
        <v>61</v>
      </c>
      <c r="AF34" s="2">
        <f t="shared" si="4"/>
        <v>59</v>
      </c>
      <c r="AG34" s="2">
        <f t="shared" si="4"/>
        <v>67</v>
      </c>
      <c r="AH34" s="2">
        <f t="shared" si="4"/>
        <v>70</v>
      </c>
      <c r="AI34" s="2">
        <f t="shared" ref="AI34:BD34" si="5">SUM(AI24:AI33)</f>
        <v>45</v>
      </c>
      <c r="AJ34" s="2">
        <f t="shared" si="5"/>
        <v>48</v>
      </c>
      <c r="AK34" s="2">
        <f t="shared" si="5"/>
        <v>45</v>
      </c>
      <c r="AL34" s="2">
        <f t="shared" si="5"/>
        <v>46</v>
      </c>
      <c r="AM34" s="2">
        <f t="shared" si="5"/>
        <v>51</v>
      </c>
      <c r="AN34" s="2">
        <f t="shared" si="5"/>
        <v>60</v>
      </c>
      <c r="AO34" s="2">
        <f t="shared" si="5"/>
        <v>82</v>
      </c>
      <c r="AP34" s="2">
        <f t="shared" si="5"/>
        <v>81</v>
      </c>
      <c r="AQ34" s="2">
        <f t="shared" si="5"/>
        <v>73</v>
      </c>
      <c r="AR34" s="2">
        <f t="shared" si="5"/>
        <v>185</v>
      </c>
      <c r="AS34" s="2">
        <f t="shared" si="5"/>
        <v>424</v>
      </c>
      <c r="AT34" s="2">
        <f t="shared" si="5"/>
        <v>739</v>
      </c>
      <c r="AU34" s="2">
        <f t="shared" si="5"/>
        <v>1203</v>
      </c>
      <c r="AV34" s="2">
        <f t="shared" si="5"/>
        <v>2015</v>
      </c>
      <c r="AW34" s="2">
        <f t="shared" si="5"/>
        <v>2189</v>
      </c>
      <c r="AX34" s="2">
        <f t="shared" si="5"/>
        <v>1725</v>
      </c>
      <c r="AY34" s="2">
        <f t="shared" si="5"/>
        <v>1290</v>
      </c>
      <c r="AZ34" s="2">
        <f t="shared" si="5"/>
        <v>775</v>
      </c>
      <c r="BA34" s="2">
        <f t="shared" si="5"/>
        <v>367</v>
      </c>
      <c r="BB34" s="2">
        <f t="shared" si="5"/>
        <v>200</v>
      </c>
      <c r="BC34" s="2">
        <f t="shared" si="5"/>
        <v>90</v>
      </c>
      <c r="BD34" s="2">
        <f t="shared" si="5"/>
        <v>5</v>
      </c>
    </row>
    <row r="35" spans="1:255" ht="16.5" customHeight="1">
      <c r="A35" s="4" t="s">
        <v>58</v>
      </c>
      <c r="B35" s="4">
        <v>2016</v>
      </c>
      <c r="C35" s="4">
        <v>747</v>
      </c>
      <c r="D35" s="5">
        <v>1</v>
      </c>
      <c r="E35" s="4">
        <v>1</v>
      </c>
      <c r="F35" s="4">
        <v>0</v>
      </c>
      <c r="G35" s="4">
        <v>1</v>
      </c>
      <c r="H35" s="4">
        <v>2</v>
      </c>
      <c r="I35" s="4">
        <v>0</v>
      </c>
      <c r="J35" s="4">
        <v>1</v>
      </c>
      <c r="K35" s="4">
        <v>5</v>
      </c>
      <c r="L35" s="4">
        <v>1</v>
      </c>
      <c r="M35" s="4">
        <v>1</v>
      </c>
      <c r="N35" s="4">
        <v>3</v>
      </c>
      <c r="O35" s="4">
        <v>2</v>
      </c>
      <c r="P35" s="4">
        <v>0</v>
      </c>
      <c r="Q35" s="4">
        <v>1</v>
      </c>
      <c r="R35" s="4">
        <v>1</v>
      </c>
      <c r="S35" s="4">
        <v>3</v>
      </c>
      <c r="T35" s="4">
        <v>2</v>
      </c>
      <c r="U35" s="4">
        <v>4</v>
      </c>
      <c r="V35" s="4">
        <v>3</v>
      </c>
      <c r="W35" s="4">
        <v>6</v>
      </c>
      <c r="X35" s="4">
        <v>6</v>
      </c>
      <c r="Y35" s="4">
        <v>5</v>
      </c>
      <c r="Z35" s="4">
        <v>9</v>
      </c>
      <c r="AA35" s="4">
        <v>3</v>
      </c>
      <c r="AB35" s="4">
        <v>5</v>
      </c>
      <c r="AC35" s="4">
        <v>3</v>
      </c>
      <c r="AD35" s="4">
        <v>7</v>
      </c>
      <c r="AE35" s="4">
        <v>2</v>
      </c>
      <c r="AF35" s="4">
        <v>1</v>
      </c>
      <c r="AG35" s="4">
        <v>1</v>
      </c>
      <c r="AH35" s="4">
        <v>1</v>
      </c>
      <c r="AI35" s="4">
        <v>1</v>
      </c>
      <c r="AJ35" s="4">
        <v>0</v>
      </c>
      <c r="AK35" s="4">
        <v>1</v>
      </c>
      <c r="AL35" s="4">
        <v>1</v>
      </c>
      <c r="AM35" s="4">
        <v>2</v>
      </c>
      <c r="AN35" s="4">
        <v>0</v>
      </c>
      <c r="AO35" s="4">
        <v>0</v>
      </c>
      <c r="AP35" s="4">
        <v>5</v>
      </c>
      <c r="AQ35" s="4">
        <v>6</v>
      </c>
      <c r="AR35" s="4">
        <v>9</v>
      </c>
      <c r="AS35" s="4">
        <v>16</v>
      </c>
      <c r="AT35" s="4">
        <v>16</v>
      </c>
      <c r="AU35" s="4">
        <v>52</v>
      </c>
      <c r="AV35" s="4">
        <v>161</v>
      </c>
      <c r="AW35" s="4">
        <v>176</v>
      </c>
      <c r="AX35" s="4">
        <v>112</v>
      </c>
      <c r="AY35" s="4">
        <v>52</v>
      </c>
      <c r="AZ35" s="4">
        <v>32</v>
      </c>
      <c r="BA35" s="4">
        <v>12</v>
      </c>
      <c r="BB35" s="4">
        <v>9</v>
      </c>
      <c r="BC35" s="4">
        <v>1</v>
      </c>
      <c r="BD35" s="4">
        <v>2</v>
      </c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4"/>
      <c r="GN35" s="4"/>
      <c r="GO35" s="4"/>
      <c r="GP35" s="4"/>
      <c r="GQ35" s="4"/>
      <c r="GR35" s="4"/>
      <c r="GS35" s="4"/>
      <c r="GT35" s="4"/>
      <c r="GU35" s="4"/>
      <c r="GV35" s="4"/>
      <c r="GW35" s="4"/>
      <c r="GX35" s="4"/>
      <c r="GY35" s="4"/>
      <c r="GZ35" s="4"/>
      <c r="HA35" s="4"/>
      <c r="HB35" s="4"/>
      <c r="HC35" s="4"/>
      <c r="HD35" s="4"/>
      <c r="HE35" s="4"/>
      <c r="HF35" s="4"/>
      <c r="HG35" s="4"/>
      <c r="HH35" s="4"/>
      <c r="HI35" s="4"/>
      <c r="HJ35" s="4"/>
      <c r="HK35" s="4"/>
      <c r="HL35" s="4"/>
      <c r="HM35" s="4"/>
      <c r="HN35" s="4"/>
      <c r="HO35" s="4"/>
      <c r="HP35" s="4"/>
      <c r="HQ35" s="4"/>
      <c r="HR35" s="4"/>
      <c r="HS35" s="4"/>
      <c r="HT35" s="4"/>
      <c r="HU35" s="4"/>
      <c r="HV35" s="4"/>
      <c r="HW35" s="4"/>
      <c r="HX35" s="4"/>
      <c r="HY35" s="4"/>
      <c r="HZ35" s="4"/>
      <c r="IA35" s="4"/>
      <c r="IB35" s="4"/>
      <c r="IC35" s="4"/>
      <c r="ID35" s="4"/>
      <c r="IE35" s="4"/>
      <c r="IF35" s="4"/>
      <c r="IG35" s="4"/>
      <c r="IH35" s="4"/>
      <c r="II35" s="4"/>
      <c r="IJ35" s="4"/>
      <c r="IK35" s="4"/>
      <c r="IL35" s="4"/>
      <c r="IM35" s="4"/>
      <c r="IN35" s="4"/>
      <c r="IO35" s="4"/>
      <c r="IP35" s="4"/>
      <c r="IQ35" s="4"/>
      <c r="IR35" s="4"/>
      <c r="IS35" s="4"/>
      <c r="IT35" s="4"/>
      <c r="IU35" s="4"/>
    </row>
    <row r="36" spans="1:255" ht="16.5" customHeight="1">
      <c r="A36" s="1" t="s">
        <v>58</v>
      </c>
      <c r="B36" s="1">
        <v>2017</v>
      </c>
      <c r="C36" s="1">
        <v>657</v>
      </c>
      <c r="D36" s="1">
        <v>3</v>
      </c>
      <c r="E36" s="1">
        <v>0</v>
      </c>
      <c r="F36" s="1">
        <v>1</v>
      </c>
      <c r="G36" s="1">
        <v>0</v>
      </c>
      <c r="H36" s="1">
        <v>1</v>
      </c>
      <c r="I36" s="1">
        <v>1</v>
      </c>
      <c r="J36" s="1">
        <v>0</v>
      </c>
      <c r="K36" s="1">
        <v>0</v>
      </c>
      <c r="L36" s="1">
        <v>0</v>
      </c>
      <c r="M36" s="1">
        <v>2</v>
      </c>
      <c r="N36" s="1">
        <v>0</v>
      </c>
      <c r="O36" s="1">
        <v>2</v>
      </c>
      <c r="P36" s="1">
        <v>0</v>
      </c>
      <c r="Q36" s="1">
        <v>1</v>
      </c>
      <c r="R36" s="1">
        <v>1</v>
      </c>
      <c r="S36" s="1">
        <v>1</v>
      </c>
      <c r="T36" s="1">
        <v>0</v>
      </c>
      <c r="U36" s="1">
        <v>2</v>
      </c>
      <c r="V36" s="1">
        <v>4</v>
      </c>
      <c r="W36" s="1">
        <v>1</v>
      </c>
      <c r="X36" s="1">
        <v>1</v>
      </c>
      <c r="Y36" s="1">
        <v>3</v>
      </c>
      <c r="Z36" s="1">
        <v>1</v>
      </c>
      <c r="AA36" s="1">
        <v>0</v>
      </c>
      <c r="AB36" s="1">
        <v>1</v>
      </c>
      <c r="AC36" s="1">
        <v>3</v>
      </c>
      <c r="AD36" s="1">
        <v>3</v>
      </c>
      <c r="AE36" s="1">
        <v>4</v>
      </c>
      <c r="AF36" s="1">
        <v>1</v>
      </c>
      <c r="AG36" s="1">
        <v>4</v>
      </c>
      <c r="AH36" s="1">
        <v>3</v>
      </c>
      <c r="AI36" s="1">
        <v>0</v>
      </c>
      <c r="AJ36" s="1">
        <v>3</v>
      </c>
      <c r="AK36" s="1">
        <v>4</v>
      </c>
      <c r="AL36" s="1">
        <v>2</v>
      </c>
      <c r="AM36" s="1">
        <v>0</v>
      </c>
      <c r="AN36" s="1">
        <v>4</v>
      </c>
      <c r="AO36" s="1">
        <v>2</v>
      </c>
      <c r="AP36" s="1">
        <v>7</v>
      </c>
      <c r="AQ36" s="1">
        <v>5</v>
      </c>
      <c r="AR36" s="1">
        <v>18</v>
      </c>
      <c r="AS36" s="1">
        <v>56</v>
      </c>
      <c r="AT36" s="1">
        <v>76</v>
      </c>
      <c r="AU36" s="1">
        <v>95</v>
      </c>
      <c r="AV36" s="1">
        <v>116</v>
      </c>
      <c r="AW36" s="1">
        <v>124</v>
      </c>
      <c r="AX36" s="1">
        <v>62</v>
      </c>
      <c r="AY36" s="1">
        <v>23</v>
      </c>
      <c r="AZ36" s="1">
        <v>9</v>
      </c>
      <c r="BA36" s="1">
        <v>2</v>
      </c>
      <c r="BB36" s="1">
        <v>3</v>
      </c>
      <c r="BC36" s="1">
        <v>2</v>
      </c>
    </row>
    <row r="37" spans="1:255" ht="16.5" customHeight="1">
      <c r="A37" s="3" t="s">
        <v>58</v>
      </c>
      <c r="B37" s="3">
        <v>2018</v>
      </c>
      <c r="C37" s="3">
        <v>552</v>
      </c>
      <c r="D37" s="3">
        <v>3</v>
      </c>
      <c r="E37" s="3">
        <v>2</v>
      </c>
      <c r="F37" s="3">
        <v>1</v>
      </c>
      <c r="G37" s="3">
        <v>0</v>
      </c>
      <c r="H37" s="3">
        <v>0</v>
      </c>
      <c r="I37" s="3">
        <v>0</v>
      </c>
      <c r="J37" s="3">
        <v>0</v>
      </c>
      <c r="K37" s="3">
        <v>1</v>
      </c>
      <c r="L37" s="3">
        <v>0</v>
      </c>
      <c r="M37" s="3">
        <v>0</v>
      </c>
      <c r="N37" s="3">
        <v>3</v>
      </c>
      <c r="O37" s="3">
        <v>2</v>
      </c>
      <c r="P37" s="3">
        <v>1</v>
      </c>
      <c r="Q37" s="3">
        <v>2</v>
      </c>
      <c r="R37" s="3">
        <v>4</v>
      </c>
      <c r="S37" s="3">
        <v>2</v>
      </c>
      <c r="T37" s="3">
        <v>5</v>
      </c>
      <c r="U37" s="3">
        <v>5</v>
      </c>
      <c r="V37" s="3">
        <v>2</v>
      </c>
      <c r="W37" s="3">
        <v>5</v>
      </c>
      <c r="X37" s="3">
        <v>3</v>
      </c>
      <c r="Y37" s="3">
        <v>3</v>
      </c>
      <c r="Z37" s="3">
        <v>3</v>
      </c>
      <c r="AA37" s="3">
        <v>7</v>
      </c>
      <c r="AB37" s="3">
        <v>3</v>
      </c>
      <c r="AC37" s="3">
        <v>3</v>
      </c>
      <c r="AD37" s="3">
        <v>5</v>
      </c>
      <c r="AE37" s="3">
        <v>4</v>
      </c>
      <c r="AF37" s="3">
        <v>3</v>
      </c>
      <c r="AG37" s="3">
        <v>3</v>
      </c>
      <c r="AH37" s="3">
        <v>2</v>
      </c>
      <c r="AI37" s="3">
        <v>1</v>
      </c>
      <c r="AJ37" s="3">
        <v>4</v>
      </c>
      <c r="AK37" s="3">
        <v>3</v>
      </c>
      <c r="AL37" s="3">
        <v>4</v>
      </c>
      <c r="AM37" s="3">
        <v>3</v>
      </c>
      <c r="AN37" s="3">
        <v>4</v>
      </c>
      <c r="AO37" s="3">
        <v>3</v>
      </c>
      <c r="AP37" s="3">
        <v>4</v>
      </c>
      <c r="AQ37" s="3">
        <v>5</v>
      </c>
      <c r="AR37" s="3">
        <v>14</v>
      </c>
      <c r="AS37" s="3">
        <v>32</v>
      </c>
      <c r="AT37" s="3">
        <v>58</v>
      </c>
      <c r="AU37" s="3">
        <v>98</v>
      </c>
      <c r="AV37" s="3">
        <v>111</v>
      </c>
      <c r="AW37" s="3">
        <v>69</v>
      </c>
      <c r="AX37" s="3">
        <v>31</v>
      </c>
      <c r="AY37" s="3">
        <v>22</v>
      </c>
      <c r="AZ37" s="3">
        <v>3</v>
      </c>
      <c r="BA37" s="3">
        <v>0</v>
      </c>
      <c r="BB37" s="3">
        <v>5</v>
      </c>
      <c r="BC37" s="3">
        <v>1</v>
      </c>
    </row>
    <row r="38" spans="1:255" ht="16.5" customHeight="1">
      <c r="A38" s="1" t="s">
        <v>58</v>
      </c>
      <c r="B38" s="1">
        <v>2019</v>
      </c>
      <c r="C38" s="1">
        <v>276</v>
      </c>
      <c r="D38" s="1">
        <v>0</v>
      </c>
      <c r="E38" s="1">
        <v>1</v>
      </c>
      <c r="F38" s="1">
        <v>0</v>
      </c>
      <c r="G38" s="1">
        <v>0</v>
      </c>
      <c r="H38" s="1">
        <v>1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2</v>
      </c>
      <c r="Q38" s="1">
        <v>1</v>
      </c>
      <c r="R38" s="1">
        <v>0</v>
      </c>
      <c r="S38" s="1">
        <v>1</v>
      </c>
      <c r="T38" s="1">
        <v>0</v>
      </c>
      <c r="U38" s="1">
        <v>0</v>
      </c>
      <c r="V38" s="1">
        <v>0</v>
      </c>
      <c r="W38" s="1">
        <v>1</v>
      </c>
      <c r="X38" s="1">
        <v>0</v>
      </c>
      <c r="Y38" s="1">
        <v>1</v>
      </c>
      <c r="Z38" s="1">
        <v>0</v>
      </c>
      <c r="AA38" s="1">
        <v>1</v>
      </c>
      <c r="AB38" s="1">
        <v>0</v>
      </c>
      <c r="AC38" s="1">
        <v>0</v>
      </c>
      <c r="AD38" s="1">
        <v>4</v>
      </c>
      <c r="AE38" s="1">
        <v>2</v>
      </c>
      <c r="AF38" s="1">
        <v>1</v>
      </c>
      <c r="AG38" s="1">
        <v>0</v>
      </c>
      <c r="AH38" s="1">
        <v>1</v>
      </c>
      <c r="AI38" s="1">
        <v>1</v>
      </c>
      <c r="AJ38" s="1">
        <v>2</v>
      </c>
      <c r="AK38" s="1">
        <v>4</v>
      </c>
      <c r="AL38" s="1">
        <v>4</v>
      </c>
      <c r="AM38" s="1">
        <v>3</v>
      </c>
      <c r="AN38" s="1">
        <v>1</v>
      </c>
      <c r="AO38" s="1">
        <v>0</v>
      </c>
      <c r="AP38" s="1">
        <v>1</v>
      </c>
      <c r="AQ38" s="1">
        <v>3</v>
      </c>
      <c r="AR38" s="1">
        <v>3</v>
      </c>
      <c r="AS38" s="1">
        <v>6</v>
      </c>
      <c r="AT38" s="1">
        <v>10</v>
      </c>
      <c r="AU38" s="1">
        <v>15</v>
      </c>
      <c r="AV38" s="1">
        <v>67</v>
      </c>
      <c r="AW38" s="1">
        <v>75</v>
      </c>
      <c r="AX38" s="1">
        <v>29</v>
      </c>
      <c r="AY38" s="1">
        <v>20</v>
      </c>
      <c r="AZ38" s="1">
        <v>10</v>
      </c>
      <c r="BA38" s="1">
        <v>3</v>
      </c>
      <c r="BB38" s="1">
        <v>1</v>
      </c>
      <c r="BC38" s="1">
        <v>1</v>
      </c>
    </row>
    <row r="39" spans="1:255" ht="16.5" customHeight="1">
      <c r="A39" s="1" t="s">
        <v>58</v>
      </c>
      <c r="B39" s="1">
        <v>2020</v>
      </c>
      <c r="C39" s="1">
        <v>265</v>
      </c>
      <c r="D39" s="1">
        <v>0</v>
      </c>
      <c r="E39" s="1">
        <v>0</v>
      </c>
      <c r="F39" s="1">
        <v>0</v>
      </c>
      <c r="G39" s="1">
        <v>0</v>
      </c>
      <c r="H39" s="1">
        <v>2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1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1</v>
      </c>
      <c r="Z39" s="1">
        <v>1</v>
      </c>
      <c r="AA39" s="1">
        <v>1</v>
      </c>
      <c r="AB39" s="1">
        <v>0</v>
      </c>
      <c r="AC39" s="1">
        <v>1</v>
      </c>
      <c r="AD39" s="1">
        <v>0</v>
      </c>
      <c r="AE39" s="1">
        <v>0</v>
      </c>
      <c r="AF39" s="1">
        <v>2</v>
      </c>
      <c r="AG39" s="1">
        <v>0</v>
      </c>
      <c r="AH39" s="1">
        <v>1</v>
      </c>
      <c r="AI39" s="1">
        <v>0</v>
      </c>
      <c r="AJ39" s="1">
        <v>1</v>
      </c>
      <c r="AK39" s="1">
        <v>2</v>
      </c>
      <c r="AL39" s="1">
        <v>1</v>
      </c>
      <c r="AM39" s="1">
        <v>2</v>
      </c>
      <c r="AN39" s="1">
        <v>0</v>
      </c>
      <c r="AO39" s="1">
        <v>0</v>
      </c>
      <c r="AP39" s="1">
        <v>2</v>
      </c>
      <c r="AQ39" s="1">
        <v>2</v>
      </c>
      <c r="AR39" s="1">
        <v>4</v>
      </c>
      <c r="AS39" s="1">
        <v>7</v>
      </c>
      <c r="AT39" s="1">
        <v>18</v>
      </c>
      <c r="AU39" s="1">
        <v>34</v>
      </c>
      <c r="AV39" s="1">
        <v>35</v>
      </c>
      <c r="AW39" s="1">
        <v>67</v>
      </c>
      <c r="AX39" s="1">
        <v>37</v>
      </c>
      <c r="AY39" s="1">
        <v>24</v>
      </c>
      <c r="AZ39" s="1">
        <v>7</v>
      </c>
      <c r="BA39" s="1">
        <v>5</v>
      </c>
      <c r="BB39" s="1">
        <v>5</v>
      </c>
      <c r="BC39" s="1">
        <v>2</v>
      </c>
    </row>
    <row r="40" spans="1:255" ht="16.5" customHeight="1">
      <c r="A40" s="1" t="s">
        <v>58</v>
      </c>
      <c r="B40" s="1">
        <v>2021</v>
      </c>
      <c r="C40" s="1">
        <v>382</v>
      </c>
      <c r="D40" s="1">
        <v>0</v>
      </c>
      <c r="E40" s="1">
        <v>1</v>
      </c>
      <c r="F40" s="1">
        <v>1</v>
      </c>
      <c r="G40" s="1">
        <v>0</v>
      </c>
      <c r="H40" s="1">
        <v>0</v>
      </c>
      <c r="I40" s="1">
        <v>3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2</v>
      </c>
      <c r="R40" s="1">
        <v>0</v>
      </c>
      <c r="S40" s="1">
        <v>0</v>
      </c>
      <c r="T40" s="1">
        <v>0</v>
      </c>
      <c r="U40" s="1">
        <v>0</v>
      </c>
      <c r="V40" s="1">
        <v>1</v>
      </c>
      <c r="W40" s="1">
        <v>1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1</v>
      </c>
      <c r="AF40" s="1">
        <v>0</v>
      </c>
      <c r="AG40" s="1">
        <v>0</v>
      </c>
      <c r="AH40" s="1">
        <v>0</v>
      </c>
      <c r="AI40" s="1">
        <v>1</v>
      </c>
      <c r="AJ40" s="1">
        <v>0</v>
      </c>
      <c r="AK40" s="1">
        <v>0</v>
      </c>
      <c r="AL40" s="1">
        <v>1</v>
      </c>
      <c r="AM40" s="1">
        <v>0</v>
      </c>
      <c r="AN40" s="1">
        <v>0</v>
      </c>
      <c r="AO40" s="1">
        <v>1</v>
      </c>
      <c r="AP40" s="1">
        <v>0</v>
      </c>
      <c r="AQ40" s="1">
        <v>0</v>
      </c>
      <c r="AR40" s="1">
        <v>1</v>
      </c>
      <c r="AS40" s="1">
        <v>10</v>
      </c>
      <c r="AT40" s="1">
        <v>28</v>
      </c>
      <c r="AU40" s="1">
        <v>49</v>
      </c>
      <c r="AV40" s="1">
        <v>36</v>
      </c>
      <c r="AW40" s="1">
        <v>52</v>
      </c>
      <c r="AX40" s="1">
        <v>95</v>
      </c>
      <c r="AY40" s="1">
        <v>55</v>
      </c>
      <c r="AZ40" s="1">
        <v>25</v>
      </c>
      <c r="BA40" s="1">
        <v>14</v>
      </c>
      <c r="BB40" s="1">
        <v>4</v>
      </c>
      <c r="BC40" s="1">
        <v>0</v>
      </c>
    </row>
    <row r="41" spans="1:255" ht="16.5" customHeight="1">
      <c r="A41" s="1" t="s">
        <v>58</v>
      </c>
      <c r="B41" s="1">
        <v>2022</v>
      </c>
      <c r="C41" s="1">
        <v>438</v>
      </c>
      <c r="D41" s="1">
        <v>3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2</v>
      </c>
      <c r="L41" s="1">
        <v>0</v>
      </c>
      <c r="M41" s="1">
        <v>0</v>
      </c>
      <c r="N41" s="1">
        <v>0</v>
      </c>
      <c r="O41" s="1">
        <v>0</v>
      </c>
      <c r="P41" s="1">
        <v>1</v>
      </c>
      <c r="Q41" s="1">
        <v>0</v>
      </c>
      <c r="R41" s="1">
        <v>1</v>
      </c>
      <c r="S41" s="1">
        <v>0</v>
      </c>
      <c r="T41" s="1">
        <v>1</v>
      </c>
      <c r="U41" s="1">
        <v>0</v>
      </c>
      <c r="V41" s="1">
        <v>0</v>
      </c>
      <c r="W41" s="1">
        <v>3</v>
      </c>
      <c r="X41" s="1">
        <v>0</v>
      </c>
      <c r="Y41" s="1">
        <v>0</v>
      </c>
      <c r="Z41" s="1">
        <v>1</v>
      </c>
      <c r="AA41" s="1">
        <v>1</v>
      </c>
      <c r="AB41" s="1">
        <v>1</v>
      </c>
      <c r="AC41" s="1">
        <v>0</v>
      </c>
      <c r="AD41" s="1">
        <v>1</v>
      </c>
      <c r="AE41" s="1">
        <v>0</v>
      </c>
      <c r="AF41" s="1">
        <v>0</v>
      </c>
      <c r="AG41" s="1">
        <v>1</v>
      </c>
      <c r="AH41" s="1">
        <v>1</v>
      </c>
      <c r="AI41" s="1">
        <v>0</v>
      </c>
      <c r="AJ41" s="1">
        <v>1</v>
      </c>
      <c r="AK41" s="1">
        <v>0</v>
      </c>
      <c r="AL41" s="1">
        <v>1</v>
      </c>
      <c r="AM41" s="1">
        <v>1</v>
      </c>
      <c r="AN41" s="1">
        <v>0</v>
      </c>
      <c r="AO41" s="1">
        <v>1</v>
      </c>
      <c r="AP41" s="1">
        <v>2</v>
      </c>
      <c r="AQ41" s="1">
        <v>2</v>
      </c>
      <c r="AR41" s="1">
        <v>2</v>
      </c>
      <c r="AS41" s="1">
        <v>11</v>
      </c>
      <c r="AT41" s="1">
        <v>29</v>
      </c>
      <c r="AU41" s="1">
        <v>42</v>
      </c>
      <c r="AV41" s="1">
        <v>104</v>
      </c>
      <c r="AW41" s="1">
        <v>98</v>
      </c>
      <c r="AX41" s="1">
        <v>69</v>
      </c>
      <c r="AY41" s="1">
        <v>27</v>
      </c>
      <c r="AZ41" s="1">
        <v>18</v>
      </c>
      <c r="BA41" s="1">
        <v>11</v>
      </c>
      <c r="BB41" s="1">
        <v>2</v>
      </c>
      <c r="BC41" s="1">
        <v>0</v>
      </c>
    </row>
    <row r="42" spans="1:255" ht="16.5" customHeight="1">
      <c r="A42" s="1" t="s">
        <v>58</v>
      </c>
      <c r="B42" s="1">
        <v>2023</v>
      </c>
      <c r="C42" s="1">
        <v>364</v>
      </c>
      <c r="D42" s="1">
        <v>2</v>
      </c>
      <c r="E42" s="1">
        <v>0</v>
      </c>
      <c r="F42" s="1">
        <v>1</v>
      </c>
      <c r="G42" s="1">
        <v>0</v>
      </c>
      <c r="H42" s="1">
        <v>0</v>
      </c>
      <c r="I42" s="1">
        <v>0</v>
      </c>
      <c r="J42" s="1">
        <v>0</v>
      </c>
      <c r="K42" s="1">
        <v>2</v>
      </c>
      <c r="L42" s="1">
        <v>0</v>
      </c>
      <c r="M42" s="1">
        <v>1</v>
      </c>
      <c r="N42" s="1">
        <v>0</v>
      </c>
      <c r="O42" s="1">
        <v>1</v>
      </c>
      <c r="P42" s="1">
        <v>0</v>
      </c>
      <c r="Q42" s="1">
        <v>1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2</v>
      </c>
      <c r="AA42" s="1">
        <v>0</v>
      </c>
      <c r="AB42" s="1">
        <v>0</v>
      </c>
      <c r="AC42" s="1">
        <v>0</v>
      </c>
      <c r="AD42" s="1">
        <v>1</v>
      </c>
      <c r="AE42" s="1">
        <v>1</v>
      </c>
      <c r="AF42" s="1">
        <v>0</v>
      </c>
      <c r="AG42" s="1">
        <v>1</v>
      </c>
      <c r="AH42" s="1">
        <v>1</v>
      </c>
      <c r="AI42" s="1">
        <v>0</v>
      </c>
      <c r="AJ42" s="1">
        <v>2</v>
      </c>
      <c r="AK42" s="1">
        <v>1</v>
      </c>
      <c r="AL42" s="1">
        <v>1</v>
      </c>
      <c r="AM42" s="1">
        <v>0</v>
      </c>
      <c r="AN42" s="1">
        <v>1</v>
      </c>
      <c r="AO42" s="1">
        <v>3</v>
      </c>
      <c r="AP42" s="1">
        <v>1</v>
      </c>
      <c r="AQ42" s="1">
        <v>1</v>
      </c>
      <c r="AR42" s="1">
        <v>3</v>
      </c>
      <c r="AS42" s="1">
        <v>6</v>
      </c>
      <c r="AT42" s="1">
        <v>15</v>
      </c>
      <c r="AU42" s="1">
        <v>65</v>
      </c>
      <c r="AV42" s="1">
        <v>60</v>
      </c>
      <c r="AW42" s="1">
        <v>86</v>
      </c>
      <c r="AX42" s="1">
        <v>62</v>
      </c>
      <c r="AY42" s="1">
        <v>29</v>
      </c>
      <c r="AZ42" s="1">
        <v>3</v>
      </c>
      <c r="BA42" s="1">
        <v>8</v>
      </c>
      <c r="BB42" s="1">
        <v>2</v>
      </c>
      <c r="BC42" s="1">
        <v>1</v>
      </c>
    </row>
    <row r="43" spans="1:255" ht="16.5" customHeight="1">
      <c r="A43" s="1" t="s">
        <v>58</v>
      </c>
      <c r="B43" s="1">
        <v>2024</v>
      </c>
      <c r="C43" s="1">
        <v>427</v>
      </c>
      <c r="D43" s="1">
        <v>3</v>
      </c>
      <c r="E43" s="1">
        <v>1</v>
      </c>
      <c r="F43" s="1">
        <v>0</v>
      </c>
      <c r="G43" s="1">
        <v>0</v>
      </c>
      <c r="H43" s="1">
        <v>2</v>
      </c>
      <c r="I43" s="1">
        <v>1</v>
      </c>
      <c r="J43" s="1">
        <v>0</v>
      </c>
      <c r="K43" s="1">
        <v>0</v>
      </c>
      <c r="L43" s="1">
        <v>0</v>
      </c>
      <c r="M43" s="1">
        <v>0</v>
      </c>
      <c r="N43" s="1">
        <v>1</v>
      </c>
      <c r="O43" s="1">
        <v>0</v>
      </c>
      <c r="P43" s="1">
        <v>1</v>
      </c>
      <c r="Q43" s="1">
        <v>0</v>
      </c>
      <c r="R43" s="1">
        <v>0</v>
      </c>
      <c r="S43" s="1">
        <v>1</v>
      </c>
      <c r="T43" s="1">
        <v>0</v>
      </c>
      <c r="U43" s="1">
        <v>1</v>
      </c>
      <c r="V43" s="1">
        <v>0</v>
      </c>
      <c r="W43" s="1">
        <v>0</v>
      </c>
      <c r="X43" s="1">
        <v>1</v>
      </c>
      <c r="Y43" s="1">
        <v>2</v>
      </c>
      <c r="Z43" s="1">
        <v>0</v>
      </c>
      <c r="AA43" s="1">
        <v>0</v>
      </c>
      <c r="AB43" s="1">
        <v>0</v>
      </c>
      <c r="AC43" s="1">
        <v>5</v>
      </c>
      <c r="AD43" s="1">
        <v>0</v>
      </c>
      <c r="AE43" s="1">
        <v>0</v>
      </c>
      <c r="AF43" s="1">
        <v>3</v>
      </c>
      <c r="AG43" s="1">
        <v>0</v>
      </c>
      <c r="AH43" s="1">
        <v>3</v>
      </c>
      <c r="AI43" s="1">
        <v>1</v>
      </c>
      <c r="AJ43" s="1">
        <v>2</v>
      </c>
      <c r="AK43" s="1">
        <v>0</v>
      </c>
      <c r="AL43" s="1">
        <v>0</v>
      </c>
      <c r="AM43" s="1">
        <v>1</v>
      </c>
      <c r="AN43" s="1">
        <v>0</v>
      </c>
      <c r="AO43" s="1">
        <v>0</v>
      </c>
      <c r="AP43" s="1">
        <v>2</v>
      </c>
      <c r="AQ43" s="1">
        <v>2</v>
      </c>
      <c r="AR43" s="1">
        <v>1</v>
      </c>
      <c r="AS43" s="1">
        <v>4</v>
      </c>
      <c r="AT43" s="1">
        <v>16</v>
      </c>
      <c r="AU43" s="1">
        <v>44</v>
      </c>
      <c r="AV43" s="1">
        <v>83</v>
      </c>
      <c r="AW43" s="1">
        <v>59</v>
      </c>
      <c r="AX43" s="1">
        <v>59</v>
      </c>
      <c r="AY43" s="1">
        <v>52</v>
      </c>
      <c r="AZ43" s="1">
        <v>43</v>
      </c>
      <c r="BA43" s="1">
        <v>28</v>
      </c>
      <c r="BB43" s="1">
        <v>4</v>
      </c>
      <c r="BC43" s="1">
        <v>1</v>
      </c>
    </row>
    <row r="44" spans="1:255" ht="16.5" customHeight="1">
      <c r="A44" s="1" t="s">
        <v>58</v>
      </c>
      <c r="B44" s="1">
        <v>2025</v>
      </c>
      <c r="C44" s="1">
        <v>260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1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1</v>
      </c>
      <c r="T44" s="1">
        <v>0</v>
      </c>
      <c r="U44" s="1">
        <v>1</v>
      </c>
      <c r="V44" s="1">
        <v>0</v>
      </c>
      <c r="W44" s="1">
        <v>2</v>
      </c>
      <c r="X44" s="1">
        <v>0</v>
      </c>
      <c r="Y44" s="1">
        <v>1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1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1</v>
      </c>
      <c r="AP44" s="1">
        <v>1</v>
      </c>
      <c r="AQ44" s="1">
        <v>0</v>
      </c>
      <c r="AR44" s="1">
        <v>1</v>
      </c>
      <c r="AS44" s="1">
        <v>4</v>
      </c>
      <c r="AT44" s="1">
        <v>8</v>
      </c>
      <c r="AU44" s="1">
        <v>14</v>
      </c>
      <c r="AV44" s="1">
        <v>23</v>
      </c>
      <c r="AW44" s="1">
        <v>64</v>
      </c>
      <c r="AX44" s="1">
        <v>62</v>
      </c>
      <c r="AY44" s="1">
        <v>43</v>
      </c>
      <c r="AZ44" s="1">
        <v>23</v>
      </c>
      <c r="BA44" s="1">
        <v>8</v>
      </c>
      <c r="BB44" s="1">
        <v>1</v>
      </c>
      <c r="BC44" s="1">
        <v>0</v>
      </c>
    </row>
    <row r="45" spans="1:255" ht="16.5" customHeight="1">
      <c r="A45" s="2" t="s">
        <v>2</v>
      </c>
      <c r="B45" s="2"/>
      <c r="C45" s="2">
        <f t="shared" ref="C45:AH45" si="6">SUM(C35:C44)</f>
        <v>4368</v>
      </c>
      <c r="D45" s="2">
        <f t="shared" si="6"/>
        <v>15</v>
      </c>
      <c r="E45" s="2">
        <f t="shared" si="6"/>
        <v>6</v>
      </c>
      <c r="F45" s="2">
        <f t="shared" si="6"/>
        <v>4</v>
      </c>
      <c r="G45" s="2">
        <f t="shared" si="6"/>
        <v>1</v>
      </c>
      <c r="H45" s="2">
        <f t="shared" si="6"/>
        <v>8</v>
      </c>
      <c r="I45" s="2">
        <f t="shared" si="6"/>
        <v>6</v>
      </c>
      <c r="J45" s="2">
        <f t="shared" si="6"/>
        <v>1</v>
      </c>
      <c r="K45" s="2">
        <f t="shared" si="6"/>
        <v>10</v>
      </c>
      <c r="L45" s="2">
        <f t="shared" si="6"/>
        <v>1</v>
      </c>
      <c r="M45" s="2">
        <f t="shared" si="6"/>
        <v>4</v>
      </c>
      <c r="N45" s="2">
        <f t="shared" si="6"/>
        <v>7</v>
      </c>
      <c r="O45" s="2">
        <f t="shared" si="6"/>
        <v>7</v>
      </c>
      <c r="P45" s="2">
        <f t="shared" si="6"/>
        <v>5</v>
      </c>
      <c r="Q45" s="2">
        <f t="shared" si="6"/>
        <v>9</v>
      </c>
      <c r="R45" s="2">
        <f t="shared" si="6"/>
        <v>7</v>
      </c>
      <c r="S45" s="2">
        <f t="shared" si="6"/>
        <v>9</v>
      </c>
      <c r="T45" s="2">
        <f t="shared" si="6"/>
        <v>8</v>
      </c>
      <c r="U45" s="2">
        <f t="shared" si="6"/>
        <v>13</v>
      </c>
      <c r="V45" s="2">
        <f t="shared" si="6"/>
        <v>10</v>
      </c>
      <c r="W45" s="2">
        <f t="shared" si="6"/>
        <v>19</v>
      </c>
      <c r="X45" s="2">
        <f t="shared" si="6"/>
        <v>11</v>
      </c>
      <c r="Y45" s="2">
        <f t="shared" si="6"/>
        <v>16</v>
      </c>
      <c r="Z45" s="2">
        <f t="shared" si="6"/>
        <v>17</v>
      </c>
      <c r="AA45" s="2">
        <f t="shared" si="6"/>
        <v>13</v>
      </c>
      <c r="AB45" s="2">
        <f t="shared" si="6"/>
        <v>10</v>
      </c>
      <c r="AC45" s="2">
        <f t="shared" si="6"/>
        <v>15</v>
      </c>
      <c r="AD45" s="2">
        <f t="shared" si="6"/>
        <v>21</v>
      </c>
      <c r="AE45" s="2">
        <f t="shared" si="6"/>
        <v>15</v>
      </c>
      <c r="AF45" s="2">
        <f t="shared" si="6"/>
        <v>11</v>
      </c>
      <c r="AG45" s="2">
        <f t="shared" si="6"/>
        <v>10</v>
      </c>
      <c r="AH45" s="2">
        <f t="shared" si="6"/>
        <v>13</v>
      </c>
      <c r="AI45" s="2">
        <f t="shared" ref="AI45:BD45" si="7">SUM(AI35:AI44)</f>
        <v>5</v>
      </c>
      <c r="AJ45" s="2">
        <f t="shared" si="7"/>
        <v>15</v>
      </c>
      <c r="AK45" s="2">
        <f t="shared" si="7"/>
        <v>15</v>
      </c>
      <c r="AL45" s="2">
        <f t="shared" si="7"/>
        <v>15</v>
      </c>
      <c r="AM45" s="2">
        <f t="shared" si="7"/>
        <v>12</v>
      </c>
      <c r="AN45" s="2">
        <f t="shared" si="7"/>
        <v>10</v>
      </c>
      <c r="AO45" s="2">
        <f t="shared" si="7"/>
        <v>11</v>
      </c>
      <c r="AP45" s="2">
        <f t="shared" si="7"/>
        <v>25</v>
      </c>
      <c r="AQ45" s="2">
        <f t="shared" si="7"/>
        <v>26</v>
      </c>
      <c r="AR45" s="2">
        <f t="shared" si="7"/>
        <v>56</v>
      </c>
      <c r="AS45" s="2">
        <f t="shared" si="7"/>
        <v>152</v>
      </c>
      <c r="AT45" s="2">
        <f t="shared" si="7"/>
        <v>274</v>
      </c>
      <c r="AU45" s="2">
        <f t="shared" si="7"/>
        <v>508</v>
      </c>
      <c r="AV45" s="2">
        <f t="shared" si="7"/>
        <v>796</v>
      </c>
      <c r="AW45" s="2">
        <f t="shared" si="7"/>
        <v>870</v>
      </c>
      <c r="AX45" s="2">
        <f t="shared" si="7"/>
        <v>618</v>
      </c>
      <c r="AY45" s="2">
        <f t="shared" si="7"/>
        <v>347</v>
      </c>
      <c r="AZ45" s="2">
        <f t="shared" si="7"/>
        <v>173</v>
      </c>
      <c r="BA45" s="2">
        <f t="shared" si="7"/>
        <v>91</v>
      </c>
      <c r="BB45" s="2">
        <f t="shared" si="7"/>
        <v>36</v>
      </c>
      <c r="BC45" s="2">
        <f t="shared" si="7"/>
        <v>9</v>
      </c>
      <c r="BD45" s="2">
        <f t="shared" si="7"/>
        <v>2</v>
      </c>
    </row>
    <row r="46" spans="1:255" ht="16.5" customHeight="1">
      <c r="A46" s="4" t="s">
        <v>59</v>
      </c>
      <c r="B46" s="4">
        <v>2016</v>
      </c>
      <c r="C46" s="4">
        <v>320</v>
      </c>
      <c r="D46" s="5">
        <v>0</v>
      </c>
      <c r="E46" s="4">
        <v>1</v>
      </c>
      <c r="F46" s="4">
        <v>0</v>
      </c>
      <c r="G46" s="4">
        <v>1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1</v>
      </c>
      <c r="Q46" s="4">
        <v>0</v>
      </c>
      <c r="R46" s="4">
        <v>1</v>
      </c>
      <c r="S46" s="4">
        <v>0</v>
      </c>
      <c r="T46" s="4">
        <v>1</v>
      </c>
      <c r="U46" s="4">
        <v>1</v>
      </c>
      <c r="V46" s="4">
        <v>1</v>
      </c>
      <c r="W46" s="4">
        <v>0</v>
      </c>
      <c r="X46" s="4">
        <v>1</v>
      </c>
      <c r="Y46" s="4">
        <v>2</v>
      </c>
      <c r="Z46" s="4">
        <v>4</v>
      </c>
      <c r="AA46" s="4">
        <v>1</v>
      </c>
      <c r="AB46" s="4">
        <v>3</v>
      </c>
      <c r="AC46" s="4">
        <v>1</v>
      </c>
      <c r="AD46" s="4">
        <v>3</v>
      </c>
      <c r="AE46" s="4">
        <v>0</v>
      </c>
      <c r="AF46" s="4">
        <v>1</v>
      </c>
      <c r="AG46" s="4">
        <v>4</v>
      </c>
      <c r="AH46" s="4">
        <v>0</v>
      </c>
      <c r="AI46" s="4">
        <v>0</v>
      </c>
      <c r="AJ46" s="4">
        <v>0</v>
      </c>
      <c r="AK46" s="4">
        <v>0</v>
      </c>
      <c r="AL46" s="4">
        <v>1</v>
      </c>
      <c r="AM46" s="4">
        <v>0</v>
      </c>
      <c r="AN46" s="4">
        <v>1</v>
      </c>
      <c r="AO46" s="4">
        <v>2</v>
      </c>
      <c r="AP46" s="4">
        <v>1</v>
      </c>
      <c r="AQ46" s="4">
        <v>5</v>
      </c>
      <c r="AR46" s="4">
        <v>3</v>
      </c>
      <c r="AS46" s="4">
        <v>17</v>
      </c>
      <c r="AT46" s="4">
        <v>23</v>
      </c>
      <c r="AU46" s="4">
        <v>22</v>
      </c>
      <c r="AV46" s="4">
        <v>57</v>
      </c>
      <c r="AW46" s="4">
        <v>64</v>
      </c>
      <c r="AX46" s="4">
        <v>35</v>
      </c>
      <c r="AY46" s="4">
        <v>26</v>
      </c>
      <c r="AZ46" s="4">
        <v>21</v>
      </c>
      <c r="BA46" s="4">
        <v>10</v>
      </c>
      <c r="BB46" s="4">
        <v>5</v>
      </c>
      <c r="BC46" s="4">
        <v>0</v>
      </c>
      <c r="BD46" s="4">
        <v>0</v>
      </c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4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  <c r="FU46" s="4"/>
      <c r="FV46" s="4"/>
      <c r="FW46" s="4"/>
      <c r="FX46" s="4"/>
      <c r="FY46" s="4"/>
      <c r="FZ46" s="4"/>
      <c r="GA46" s="4"/>
      <c r="GB46" s="4"/>
      <c r="GC46" s="4"/>
      <c r="GD46" s="4"/>
      <c r="GE46" s="4"/>
      <c r="GF46" s="4"/>
      <c r="GG46" s="4"/>
      <c r="GH46" s="4"/>
      <c r="GI46" s="4"/>
      <c r="GJ46" s="4"/>
      <c r="GK46" s="4"/>
      <c r="GL46" s="4"/>
      <c r="GM46" s="4"/>
      <c r="GN46" s="4"/>
      <c r="GO46" s="4"/>
      <c r="GP46" s="4"/>
      <c r="GQ46" s="4"/>
      <c r="GR46" s="4"/>
      <c r="GS46" s="4"/>
      <c r="GT46" s="4"/>
      <c r="GU46" s="4"/>
      <c r="GV46" s="4"/>
      <c r="GW46" s="4"/>
      <c r="GX46" s="4"/>
      <c r="GY46" s="4"/>
      <c r="GZ46" s="4"/>
      <c r="HA46" s="4"/>
      <c r="HB46" s="4"/>
      <c r="HC46" s="4"/>
      <c r="HD46" s="4"/>
      <c r="HE46" s="4"/>
      <c r="HF46" s="4"/>
      <c r="HG46" s="4"/>
      <c r="HH46" s="4"/>
      <c r="HI46" s="4"/>
      <c r="HJ46" s="4"/>
      <c r="HK46" s="4"/>
      <c r="HL46" s="4"/>
      <c r="HM46" s="4"/>
      <c r="HN46" s="4"/>
      <c r="HO46" s="4"/>
      <c r="HP46" s="4"/>
      <c r="HQ46" s="4"/>
      <c r="HR46" s="4"/>
      <c r="HS46" s="4"/>
      <c r="HT46" s="4"/>
      <c r="HU46" s="4"/>
      <c r="HV46" s="4"/>
      <c r="HW46" s="4"/>
      <c r="HX46" s="4"/>
      <c r="HY46" s="4"/>
      <c r="HZ46" s="4"/>
      <c r="IA46" s="4"/>
      <c r="IB46" s="4"/>
      <c r="IC46" s="4"/>
      <c r="ID46" s="4"/>
      <c r="IE46" s="4"/>
      <c r="IF46" s="4"/>
      <c r="IG46" s="4"/>
      <c r="IH46" s="4"/>
      <c r="II46" s="4"/>
      <c r="IJ46" s="4"/>
      <c r="IK46" s="4"/>
      <c r="IL46" s="4"/>
      <c r="IM46" s="4"/>
      <c r="IN46" s="4"/>
      <c r="IO46" s="4"/>
      <c r="IP46" s="4"/>
      <c r="IQ46" s="4"/>
      <c r="IR46" s="4"/>
      <c r="IS46" s="4"/>
      <c r="IT46" s="4"/>
      <c r="IU46" s="4"/>
    </row>
    <row r="47" spans="1:255" ht="16.5" customHeight="1">
      <c r="A47" s="1" t="s">
        <v>59</v>
      </c>
      <c r="B47" s="1">
        <v>2017</v>
      </c>
      <c r="C47" s="1">
        <v>330</v>
      </c>
      <c r="D47" s="1">
        <v>2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1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1</v>
      </c>
      <c r="U47" s="1">
        <v>0</v>
      </c>
      <c r="V47" s="1">
        <v>0</v>
      </c>
      <c r="W47" s="1">
        <v>2</v>
      </c>
      <c r="X47" s="1">
        <v>0</v>
      </c>
      <c r="Y47" s="1">
        <v>1</v>
      </c>
      <c r="Z47" s="1">
        <v>0</v>
      </c>
      <c r="AA47" s="1">
        <v>4</v>
      </c>
      <c r="AB47" s="1">
        <v>1</v>
      </c>
      <c r="AC47" s="1">
        <v>1</v>
      </c>
      <c r="AD47" s="1">
        <v>0</v>
      </c>
      <c r="AE47" s="1">
        <v>1</v>
      </c>
      <c r="AF47" s="1">
        <v>1</v>
      </c>
      <c r="AG47" s="1">
        <v>1</v>
      </c>
      <c r="AH47" s="1">
        <v>0</v>
      </c>
      <c r="AI47" s="1">
        <v>1</v>
      </c>
      <c r="AJ47" s="1">
        <v>0</v>
      </c>
      <c r="AK47" s="1">
        <v>1</v>
      </c>
      <c r="AL47" s="1">
        <v>0</v>
      </c>
      <c r="AM47" s="1">
        <v>5</v>
      </c>
      <c r="AN47" s="1">
        <v>0</v>
      </c>
      <c r="AO47" s="1">
        <v>2</v>
      </c>
      <c r="AP47" s="1">
        <v>2</v>
      </c>
      <c r="AQ47" s="1">
        <v>2</v>
      </c>
      <c r="AR47" s="1">
        <v>19</v>
      </c>
      <c r="AS47" s="1">
        <v>34</v>
      </c>
      <c r="AT47" s="1">
        <v>56</v>
      </c>
      <c r="AU47" s="1">
        <v>48</v>
      </c>
      <c r="AV47" s="1">
        <v>43</v>
      </c>
      <c r="AW47" s="1">
        <v>47</v>
      </c>
      <c r="AX47" s="1">
        <v>27</v>
      </c>
      <c r="AY47" s="1">
        <v>10</v>
      </c>
      <c r="AZ47" s="1">
        <v>5</v>
      </c>
      <c r="BA47" s="1">
        <v>5</v>
      </c>
      <c r="BB47" s="1">
        <v>6</v>
      </c>
      <c r="BC47" s="1">
        <v>1</v>
      </c>
    </row>
    <row r="48" spans="1:255" ht="16.5" customHeight="1">
      <c r="A48" s="1" t="s">
        <v>59</v>
      </c>
      <c r="B48" s="1">
        <v>2018</v>
      </c>
      <c r="C48" s="1">
        <v>168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1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1</v>
      </c>
      <c r="P48" s="1">
        <v>1</v>
      </c>
      <c r="Q48" s="1">
        <v>1</v>
      </c>
      <c r="R48" s="1">
        <v>1</v>
      </c>
      <c r="S48" s="1">
        <v>1</v>
      </c>
      <c r="T48" s="1">
        <v>0</v>
      </c>
      <c r="U48" s="1">
        <v>1</v>
      </c>
      <c r="V48" s="1">
        <v>3</v>
      </c>
      <c r="W48" s="1">
        <v>2</v>
      </c>
      <c r="X48" s="1">
        <v>6</v>
      </c>
      <c r="Y48" s="1">
        <v>0</v>
      </c>
      <c r="Z48" s="1">
        <v>0</v>
      </c>
      <c r="AA48" s="1">
        <v>1</v>
      </c>
      <c r="AB48" s="1">
        <v>0</v>
      </c>
      <c r="AC48" s="1">
        <v>3</v>
      </c>
      <c r="AD48" s="1">
        <v>2</v>
      </c>
      <c r="AE48" s="1">
        <v>3</v>
      </c>
      <c r="AF48" s="1">
        <v>0</v>
      </c>
      <c r="AG48" s="1">
        <v>0</v>
      </c>
      <c r="AH48" s="1">
        <v>1</v>
      </c>
      <c r="AI48" s="1">
        <v>1</v>
      </c>
      <c r="AJ48" s="1">
        <v>1</v>
      </c>
      <c r="AK48" s="1">
        <v>1</v>
      </c>
      <c r="AL48" s="1">
        <v>0</v>
      </c>
      <c r="AM48" s="1">
        <v>2</v>
      </c>
      <c r="AN48" s="1">
        <v>0</v>
      </c>
      <c r="AO48" s="1">
        <v>0</v>
      </c>
      <c r="AP48" s="1">
        <v>1</v>
      </c>
      <c r="AQ48" s="1">
        <v>2</v>
      </c>
      <c r="AR48" s="1">
        <v>8</v>
      </c>
      <c r="AS48" s="1">
        <v>22</v>
      </c>
      <c r="AT48" s="1">
        <v>23</v>
      </c>
      <c r="AU48" s="1">
        <v>24</v>
      </c>
      <c r="AV48" s="1">
        <v>22</v>
      </c>
      <c r="AW48" s="1">
        <v>21</v>
      </c>
      <c r="AX48" s="1">
        <v>5</v>
      </c>
      <c r="AY48" s="1">
        <v>3</v>
      </c>
      <c r="AZ48" s="1">
        <v>2</v>
      </c>
      <c r="BA48" s="1">
        <v>1</v>
      </c>
      <c r="BB48" s="1">
        <v>1</v>
      </c>
      <c r="BC48" s="1">
        <v>0</v>
      </c>
    </row>
    <row r="49" spans="1:255" ht="16.5" customHeight="1">
      <c r="A49" s="3" t="s">
        <v>59</v>
      </c>
      <c r="B49" s="3">
        <v>2019</v>
      </c>
      <c r="C49" s="3">
        <v>79</v>
      </c>
      <c r="D49" s="3">
        <v>0</v>
      </c>
      <c r="E49" s="3">
        <v>0</v>
      </c>
      <c r="F49" s="3">
        <v>0</v>
      </c>
      <c r="G49" s="3">
        <v>0</v>
      </c>
      <c r="H49" s="3">
        <v>2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1</v>
      </c>
      <c r="T49" s="3">
        <v>2</v>
      </c>
      <c r="U49" s="3">
        <v>0</v>
      </c>
      <c r="V49" s="3">
        <v>1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1</v>
      </c>
      <c r="AH49" s="3">
        <v>0</v>
      </c>
      <c r="AI49" s="3">
        <v>0</v>
      </c>
      <c r="AJ49" s="3">
        <v>0</v>
      </c>
      <c r="AK49" s="3">
        <v>0</v>
      </c>
      <c r="AL49" s="3">
        <v>2</v>
      </c>
      <c r="AM49" s="3">
        <v>2</v>
      </c>
      <c r="AN49" s="3">
        <v>1</v>
      </c>
      <c r="AO49" s="3">
        <v>3</v>
      </c>
      <c r="AP49" s="3">
        <v>0</v>
      </c>
      <c r="AQ49" s="3">
        <v>1</v>
      </c>
      <c r="AR49" s="3">
        <v>0</v>
      </c>
      <c r="AS49" s="3">
        <v>3</v>
      </c>
      <c r="AT49" s="3">
        <v>4</v>
      </c>
      <c r="AU49" s="3">
        <v>5</v>
      </c>
      <c r="AV49" s="3">
        <v>14</v>
      </c>
      <c r="AW49" s="3">
        <v>22</v>
      </c>
      <c r="AX49" s="3">
        <v>4</v>
      </c>
      <c r="AY49" s="3">
        <v>6</v>
      </c>
      <c r="AZ49" s="3">
        <v>2</v>
      </c>
      <c r="BA49" s="3">
        <v>2</v>
      </c>
      <c r="BB49" s="3">
        <v>0</v>
      </c>
      <c r="BC49" s="3">
        <v>1</v>
      </c>
    </row>
    <row r="50" spans="1:255" ht="16.5" customHeight="1">
      <c r="A50" s="1" t="s">
        <v>59</v>
      </c>
      <c r="B50" s="1">
        <v>2020</v>
      </c>
      <c r="C50" s="1">
        <v>117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1</v>
      </c>
      <c r="Y50" s="1">
        <v>0</v>
      </c>
      <c r="Z50" s="1">
        <v>0</v>
      </c>
      <c r="AA50" s="1">
        <v>3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1</v>
      </c>
      <c r="AQ50" s="1">
        <v>0</v>
      </c>
      <c r="AR50" s="1">
        <v>1</v>
      </c>
      <c r="AS50" s="1">
        <v>0</v>
      </c>
      <c r="AT50" s="1">
        <v>14</v>
      </c>
      <c r="AU50" s="1">
        <v>25</v>
      </c>
      <c r="AV50" s="1">
        <v>21</v>
      </c>
      <c r="AW50" s="1">
        <v>13</v>
      </c>
      <c r="AX50" s="1">
        <v>17</v>
      </c>
      <c r="AY50" s="1">
        <v>10</v>
      </c>
      <c r="AZ50" s="1">
        <v>3</v>
      </c>
      <c r="BA50" s="1">
        <v>2</v>
      </c>
      <c r="BB50" s="1">
        <v>1</v>
      </c>
      <c r="BC50" s="1">
        <v>5</v>
      </c>
    </row>
    <row r="51" spans="1:255" ht="16.5" customHeight="1">
      <c r="A51" s="1" t="s">
        <v>59</v>
      </c>
      <c r="B51" s="1">
        <v>2021</v>
      </c>
      <c r="C51" s="1">
        <v>157</v>
      </c>
      <c r="D51" s="1">
        <v>1</v>
      </c>
      <c r="E51" s="1">
        <v>0</v>
      </c>
      <c r="F51" s="1">
        <v>0</v>
      </c>
      <c r="G51" s="1">
        <v>1</v>
      </c>
      <c r="H51" s="1">
        <v>1</v>
      </c>
      <c r="I51" s="1">
        <v>2</v>
      </c>
      <c r="J51" s="1">
        <v>0</v>
      </c>
      <c r="K51" s="1">
        <v>0</v>
      </c>
      <c r="L51" s="1">
        <v>0</v>
      </c>
      <c r="M51" s="1">
        <v>1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1</v>
      </c>
      <c r="X51" s="1">
        <v>1</v>
      </c>
      <c r="Y51" s="1">
        <v>3</v>
      </c>
      <c r="Z51" s="1">
        <v>0</v>
      </c>
      <c r="AA51" s="1">
        <v>0</v>
      </c>
      <c r="AB51" s="1">
        <v>0</v>
      </c>
      <c r="AC51" s="1">
        <v>1</v>
      </c>
      <c r="AD51" s="1">
        <v>0</v>
      </c>
      <c r="AE51" s="1">
        <v>0</v>
      </c>
      <c r="AF51" s="1">
        <v>0</v>
      </c>
      <c r="AG51" s="1">
        <v>0</v>
      </c>
      <c r="AH51" s="1">
        <v>1</v>
      </c>
      <c r="AI51" s="1">
        <v>0</v>
      </c>
      <c r="AJ51" s="1">
        <v>1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1</v>
      </c>
      <c r="AR51" s="1">
        <v>4</v>
      </c>
      <c r="AS51" s="1">
        <v>13</v>
      </c>
      <c r="AT51" s="1">
        <v>28</v>
      </c>
      <c r="AU51" s="1">
        <v>18</v>
      </c>
      <c r="AV51" s="1">
        <v>11</v>
      </c>
      <c r="AW51" s="1">
        <v>13</v>
      </c>
      <c r="AX51" s="1">
        <v>25</v>
      </c>
      <c r="AY51" s="1">
        <v>19</v>
      </c>
      <c r="AZ51" s="1">
        <v>4</v>
      </c>
      <c r="BA51" s="1">
        <v>5</v>
      </c>
      <c r="BB51" s="1">
        <v>2</v>
      </c>
      <c r="BC51" s="1">
        <v>0</v>
      </c>
    </row>
    <row r="52" spans="1:255" ht="16.5" customHeight="1">
      <c r="A52" s="1" t="s">
        <v>59</v>
      </c>
      <c r="B52" s="1">
        <v>2022</v>
      </c>
      <c r="C52" s="1">
        <v>178</v>
      </c>
      <c r="D52" s="1">
        <v>0</v>
      </c>
      <c r="E52" s="1">
        <v>1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1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1</v>
      </c>
      <c r="AA52" s="1">
        <v>1</v>
      </c>
      <c r="AB52" s="1">
        <v>0</v>
      </c>
      <c r="AC52" s="1">
        <v>0</v>
      </c>
      <c r="AD52" s="1">
        <v>2</v>
      </c>
      <c r="AE52" s="1">
        <v>1</v>
      </c>
      <c r="AF52" s="1">
        <v>1</v>
      </c>
      <c r="AG52" s="1">
        <v>2</v>
      </c>
      <c r="AH52" s="1">
        <v>0</v>
      </c>
      <c r="AI52" s="1">
        <v>1</v>
      </c>
      <c r="AJ52" s="1">
        <v>0</v>
      </c>
      <c r="AK52" s="1">
        <v>0</v>
      </c>
      <c r="AL52" s="1">
        <v>1</v>
      </c>
      <c r="AM52" s="1">
        <v>1</v>
      </c>
      <c r="AN52" s="1">
        <v>2</v>
      </c>
      <c r="AO52" s="1">
        <v>0</v>
      </c>
      <c r="AP52" s="1">
        <v>3</v>
      </c>
      <c r="AQ52" s="1">
        <v>1</v>
      </c>
      <c r="AR52" s="1">
        <v>1</v>
      </c>
      <c r="AS52" s="1">
        <v>12</v>
      </c>
      <c r="AT52" s="1">
        <v>22</v>
      </c>
      <c r="AU52" s="1">
        <v>16</v>
      </c>
      <c r="AV52" s="1">
        <v>27</v>
      </c>
      <c r="AW52" s="1">
        <v>21</v>
      </c>
      <c r="AX52" s="1">
        <v>36</v>
      </c>
      <c r="AY52" s="1">
        <v>15</v>
      </c>
      <c r="AZ52" s="1">
        <v>2</v>
      </c>
      <c r="BA52" s="1">
        <v>4</v>
      </c>
      <c r="BB52" s="1">
        <v>3</v>
      </c>
      <c r="BC52" s="1">
        <v>0</v>
      </c>
    </row>
    <row r="53" spans="1:255" ht="16.5" customHeight="1">
      <c r="A53" s="1" t="s">
        <v>59</v>
      </c>
      <c r="B53" s="1">
        <v>2023</v>
      </c>
      <c r="C53" s="1">
        <v>168</v>
      </c>
      <c r="D53" s="1">
        <v>0</v>
      </c>
      <c r="E53" s="1">
        <v>2</v>
      </c>
      <c r="F53" s="1">
        <v>0</v>
      </c>
      <c r="G53" s="1">
        <v>0</v>
      </c>
      <c r="H53" s="1">
        <v>3</v>
      </c>
      <c r="I53" s="1">
        <v>2</v>
      </c>
      <c r="J53" s="1">
        <v>0</v>
      </c>
      <c r="K53" s="1">
        <v>0</v>
      </c>
      <c r="L53" s="1">
        <v>1</v>
      </c>
      <c r="M53" s="1">
        <v>0</v>
      </c>
      <c r="N53" s="1">
        <v>0</v>
      </c>
      <c r="O53" s="1">
        <v>1</v>
      </c>
      <c r="P53" s="1">
        <v>2</v>
      </c>
      <c r="Q53" s="1">
        <v>1</v>
      </c>
      <c r="R53" s="1">
        <v>3</v>
      </c>
      <c r="S53" s="1">
        <v>5</v>
      </c>
      <c r="T53" s="1">
        <v>6</v>
      </c>
      <c r="U53" s="1">
        <v>5</v>
      </c>
      <c r="V53" s="1">
        <v>2</v>
      </c>
      <c r="W53" s="1">
        <v>4</v>
      </c>
      <c r="X53" s="1">
        <v>0</v>
      </c>
      <c r="Y53" s="1">
        <v>2</v>
      </c>
      <c r="Z53" s="1">
        <v>1</v>
      </c>
      <c r="AA53" s="1">
        <v>1</v>
      </c>
      <c r="AB53" s="1">
        <v>2</v>
      </c>
      <c r="AC53" s="1">
        <v>0</v>
      </c>
      <c r="AD53" s="1">
        <v>1</v>
      </c>
      <c r="AE53" s="1">
        <v>0</v>
      </c>
      <c r="AF53" s="1">
        <v>0</v>
      </c>
      <c r="AG53" s="1">
        <v>0</v>
      </c>
      <c r="AH53" s="1">
        <v>1</v>
      </c>
      <c r="AI53" s="1">
        <v>1</v>
      </c>
      <c r="AJ53" s="1">
        <v>4</v>
      </c>
      <c r="AK53" s="1">
        <v>0</v>
      </c>
      <c r="AL53" s="1">
        <v>0</v>
      </c>
      <c r="AM53" s="1">
        <v>1</v>
      </c>
      <c r="AN53" s="1">
        <v>0</v>
      </c>
      <c r="AO53" s="1">
        <v>1</v>
      </c>
      <c r="AP53" s="1">
        <v>2</v>
      </c>
      <c r="AQ53" s="1">
        <v>1</v>
      </c>
      <c r="AR53" s="1">
        <v>5</v>
      </c>
      <c r="AS53" s="1">
        <v>10</v>
      </c>
      <c r="AT53" s="1">
        <v>22</v>
      </c>
      <c r="AU53" s="1">
        <v>21</v>
      </c>
      <c r="AV53" s="1">
        <v>20</v>
      </c>
      <c r="AW53" s="1">
        <v>15</v>
      </c>
      <c r="AX53" s="1">
        <v>9</v>
      </c>
      <c r="AY53" s="1">
        <v>4</v>
      </c>
      <c r="AZ53" s="1">
        <v>2</v>
      </c>
      <c r="BA53" s="1">
        <v>3</v>
      </c>
      <c r="BB53" s="1">
        <v>1</v>
      </c>
      <c r="BC53" s="1">
        <v>1</v>
      </c>
    </row>
    <row r="54" spans="1:255" ht="16.5" customHeight="1">
      <c r="A54" s="1" t="s">
        <v>59</v>
      </c>
      <c r="B54" s="1">
        <v>2024</v>
      </c>
      <c r="C54" s="1">
        <v>219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2</v>
      </c>
      <c r="U54" s="1">
        <v>0</v>
      </c>
      <c r="V54" s="1">
        <v>0</v>
      </c>
      <c r="W54" s="1">
        <v>0</v>
      </c>
      <c r="X54" s="1">
        <v>2</v>
      </c>
      <c r="Y54" s="1">
        <v>1</v>
      </c>
      <c r="Z54" s="1">
        <v>0</v>
      </c>
      <c r="AA54" s="1">
        <v>1</v>
      </c>
      <c r="AB54" s="1">
        <v>0</v>
      </c>
      <c r="AC54" s="1">
        <v>0</v>
      </c>
      <c r="AD54" s="1">
        <v>2</v>
      </c>
      <c r="AE54" s="1">
        <v>0</v>
      </c>
      <c r="AF54" s="1">
        <v>2</v>
      </c>
      <c r="AG54" s="1">
        <v>1</v>
      </c>
      <c r="AH54" s="1">
        <v>0</v>
      </c>
      <c r="AI54" s="1">
        <v>0</v>
      </c>
      <c r="AJ54" s="1">
        <v>0</v>
      </c>
      <c r="AK54" s="1">
        <v>0</v>
      </c>
      <c r="AL54" s="1">
        <v>1</v>
      </c>
      <c r="AM54" s="1">
        <v>2</v>
      </c>
      <c r="AN54" s="1">
        <v>1</v>
      </c>
      <c r="AO54" s="1">
        <v>0</v>
      </c>
      <c r="AP54" s="1">
        <v>0</v>
      </c>
      <c r="AQ54" s="1">
        <v>1</v>
      </c>
      <c r="AR54" s="1">
        <v>0</v>
      </c>
      <c r="AS54" s="1">
        <v>10</v>
      </c>
      <c r="AT54" s="1">
        <v>29</v>
      </c>
      <c r="AU54" s="1">
        <v>50</v>
      </c>
      <c r="AV54" s="1">
        <v>36</v>
      </c>
      <c r="AW54" s="1">
        <v>21</v>
      </c>
      <c r="AX54" s="1">
        <v>13</v>
      </c>
      <c r="AY54" s="1">
        <v>16</v>
      </c>
      <c r="AZ54" s="1">
        <v>18</v>
      </c>
      <c r="BA54" s="1">
        <v>7</v>
      </c>
      <c r="BB54" s="1">
        <v>2</v>
      </c>
      <c r="BC54" s="1">
        <v>1</v>
      </c>
    </row>
    <row r="55" spans="1:255" ht="16.5" customHeight="1">
      <c r="A55" s="1" t="s">
        <v>59</v>
      </c>
      <c r="B55" s="1">
        <v>2025</v>
      </c>
      <c r="C55" s="1">
        <v>124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1</v>
      </c>
      <c r="U55" s="1">
        <v>1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1</v>
      </c>
      <c r="AE55" s="1">
        <v>0</v>
      </c>
      <c r="AF55" s="1">
        <v>0</v>
      </c>
      <c r="AG55" s="1">
        <v>0</v>
      </c>
      <c r="AH55" s="1">
        <v>0</v>
      </c>
      <c r="AI55" s="1">
        <v>1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1</v>
      </c>
      <c r="AQ55" s="1">
        <v>1</v>
      </c>
      <c r="AR55" s="1">
        <v>0</v>
      </c>
      <c r="AS55" s="1">
        <v>5</v>
      </c>
      <c r="AT55" s="1">
        <v>14</v>
      </c>
      <c r="AU55" s="1">
        <v>22</v>
      </c>
      <c r="AV55" s="1">
        <v>15</v>
      </c>
      <c r="AW55" s="1">
        <v>17</v>
      </c>
      <c r="AX55" s="1">
        <v>14</v>
      </c>
      <c r="AY55" s="1">
        <v>18</v>
      </c>
      <c r="AZ55" s="1">
        <v>11</v>
      </c>
      <c r="BA55" s="1">
        <v>2</v>
      </c>
      <c r="BB55" s="1">
        <v>0</v>
      </c>
      <c r="BC55" s="1">
        <v>0</v>
      </c>
    </row>
    <row r="56" spans="1:255" ht="16.5" customHeight="1">
      <c r="A56" s="2" t="s">
        <v>2</v>
      </c>
      <c r="B56" s="2"/>
      <c r="C56" s="2">
        <f t="shared" ref="C56:AH56" si="8">SUM(C46:C55)</f>
        <v>1860</v>
      </c>
      <c r="D56" s="2">
        <f t="shared" si="8"/>
        <v>3</v>
      </c>
      <c r="E56" s="2">
        <f t="shared" si="8"/>
        <v>4</v>
      </c>
      <c r="F56" s="2">
        <f t="shared" si="8"/>
        <v>0</v>
      </c>
      <c r="G56" s="2">
        <f t="shared" si="8"/>
        <v>2</v>
      </c>
      <c r="H56" s="2">
        <f t="shared" si="8"/>
        <v>6</v>
      </c>
      <c r="I56" s="2">
        <f t="shared" si="8"/>
        <v>5</v>
      </c>
      <c r="J56" s="2">
        <f t="shared" si="8"/>
        <v>0</v>
      </c>
      <c r="K56" s="2">
        <f t="shared" si="8"/>
        <v>0</v>
      </c>
      <c r="L56" s="2">
        <f t="shared" si="8"/>
        <v>1</v>
      </c>
      <c r="M56" s="2">
        <f t="shared" si="8"/>
        <v>1</v>
      </c>
      <c r="N56" s="2">
        <f t="shared" si="8"/>
        <v>1</v>
      </c>
      <c r="O56" s="2">
        <f t="shared" si="8"/>
        <v>2</v>
      </c>
      <c r="P56" s="2">
        <f t="shared" si="8"/>
        <v>4</v>
      </c>
      <c r="Q56" s="2">
        <f t="shared" si="8"/>
        <v>3</v>
      </c>
      <c r="R56" s="2">
        <f t="shared" si="8"/>
        <v>5</v>
      </c>
      <c r="S56" s="2">
        <f t="shared" si="8"/>
        <v>7</v>
      </c>
      <c r="T56" s="2">
        <f t="shared" si="8"/>
        <v>13</v>
      </c>
      <c r="U56" s="2">
        <f t="shared" si="8"/>
        <v>8</v>
      </c>
      <c r="V56" s="2">
        <f t="shared" si="8"/>
        <v>7</v>
      </c>
      <c r="W56" s="2">
        <f t="shared" si="8"/>
        <v>9</v>
      </c>
      <c r="X56" s="2">
        <f t="shared" si="8"/>
        <v>11</v>
      </c>
      <c r="Y56" s="2">
        <f t="shared" si="8"/>
        <v>9</v>
      </c>
      <c r="Z56" s="2">
        <f t="shared" si="8"/>
        <v>6</v>
      </c>
      <c r="AA56" s="2">
        <f t="shared" si="8"/>
        <v>12</v>
      </c>
      <c r="AB56" s="2">
        <f t="shared" si="8"/>
        <v>6</v>
      </c>
      <c r="AC56" s="2">
        <f t="shared" si="8"/>
        <v>6</v>
      </c>
      <c r="AD56" s="2">
        <f t="shared" si="8"/>
        <v>11</v>
      </c>
      <c r="AE56" s="2">
        <f t="shared" si="8"/>
        <v>5</v>
      </c>
      <c r="AF56" s="2">
        <f t="shared" si="8"/>
        <v>5</v>
      </c>
      <c r="AG56" s="2">
        <f t="shared" si="8"/>
        <v>9</v>
      </c>
      <c r="AH56" s="2">
        <f t="shared" si="8"/>
        <v>3</v>
      </c>
      <c r="AI56" s="2">
        <f t="shared" ref="AI56:BD56" si="9">SUM(AI46:AI55)</f>
        <v>5</v>
      </c>
      <c r="AJ56" s="2">
        <f t="shared" si="9"/>
        <v>6</v>
      </c>
      <c r="AK56" s="2">
        <f t="shared" si="9"/>
        <v>2</v>
      </c>
      <c r="AL56" s="2">
        <f t="shared" si="9"/>
        <v>5</v>
      </c>
      <c r="AM56" s="2">
        <f t="shared" si="9"/>
        <v>13</v>
      </c>
      <c r="AN56" s="2">
        <f t="shared" si="9"/>
        <v>5</v>
      </c>
      <c r="AO56" s="2">
        <f t="shared" si="9"/>
        <v>8</v>
      </c>
      <c r="AP56" s="2">
        <f t="shared" si="9"/>
        <v>11</v>
      </c>
      <c r="AQ56" s="2">
        <f t="shared" si="9"/>
        <v>15</v>
      </c>
      <c r="AR56" s="2">
        <f t="shared" si="9"/>
        <v>41</v>
      </c>
      <c r="AS56" s="2">
        <f t="shared" si="9"/>
        <v>126</v>
      </c>
      <c r="AT56" s="2">
        <f t="shared" si="9"/>
        <v>235</v>
      </c>
      <c r="AU56" s="2">
        <f t="shared" si="9"/>
        <v>251</v>
      </c>
      <c r="AV56" s="2">
        <f t="shared" si="9"/>
        <v>266</v>
      </c>
      <c r="AW56" s="2">
        <f t="shared" si="9"/>
        <v>254</v>
      </c>
      <c r="AX56" s="2">
        <f t="shared" si="9"/>
        <v>185</v>
      </c>
      <c r="AY56" s="2">
        <f t="shared" si="9"/>
        <v>127</v>
      </c>
      <c r="AZ56" s="2">
        <f t="shared" si="9"/>
        <v>70</v>
      </c>
      <c r="BA56" s="2">
        <f t="shared" si="9"/>
        <v>41</v>
      </c>
      <c r="BB56" s="2">
        <f t="shared" si="9"/>
        <v>21</v>
      </c>
      <c r="BC56" s="2">
        <f t="shared" si="9"/>
        <v>9</v>
      </c>
      <c r="BD56" s="2">
        <f t="shared" si="9"/>
        <v>0</v>
      </c>
    </row>
    <row r="57" spans="1:255" ht="16.5" customHeight="1">
      <c r="A57" s="4" t="s">
        <v>60</v>
      </c>
      <c r="B57" s="4">
        <v>2016</v>
      </c>
      <c r="C57" s="4">
        <v>235</v>
      </c>
      <c r="D57" s="5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1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1</v>
      </c>
      <c r="Q57" s="4">
        <v>0</v>
      </c>
      <c r="R57" s="4">
        <v>0</v>
      </c>
      <c r="S57" s="4">
        <v>0</v>
      </c>
      <c r="T57" s="4">
        <v>1</v>
      </c>
      <c r="U57" s="4">
        <v>0</v>
      </c>
      <c r="V57" s="4">
        <v>0</v>
      </c>
      <c r="W57" s="4">
        <v>2</v>
      </c>
      <c r="X57" s="4">
        <v>1</v>
      </c>
      <c r="Y57" s="4">
        <v>0</v>
      </c>
      <c r="Z57" s="4">
        <v>1</v>
      </c>
      <c r="AA57" s="4">
        <v>0</v>
      </c>
      <c r="AB57" s="4">
        <v>0</v>
      </c>
      <c r="AC57" s="4">
        <v>2</v>
      </c>
      <c r="AD57" s="4">
        <v>0</v>
      </c>
      <c r="AE57" s="4">
        <v>0</v>
      </c>
      <c r="AF57" s="4">
        <v>1</v>
      </c>
      <c r="AG57" s="4">
        <v>0</v>
      </c>
      <c r="AH57" s="4">
        <v>0</v>
      </c>
      <c r="AI57" s="4">
        <v>0</v>
      </c>
      <c r="AJ57" s="4">
        <v>1</v>
      </c>
      <c r="AK57" s="4">
        <v>0</v>
      </c>
      <c r="AL57" s="4">
        <v>0</v>
      </c>
      <c r="AM57" s="4">
        <v>0</v>
      </c>
      <c r="AN57" s="4">
        <v>2</v>
      </c>
      <c r="AO57" s="4">
        <v>1</v>
      </c>
      <c r="AP57" s="4">
        <v>1</v>
      </c>
      <c r="AQ57" s="4">
        <v>1</v>
      </c>
      <c r="AR57" s="4">
        <v>3</v>
      </c>
      <c r="AS57" s="4">
        <v>1</v>
      </c>
      <c r="AT57" s="4">
        <v>4</v>
      </c>
      <c r="AU57" s="4">
        <v>13</v>
      </c>
      <c r="AV57" s="4">
        <v>47</v>
      </c>
      <c r="AW57" s="4">
        <v>63</v>
      </c>
      <c r="AX57" s="4">
        <v>40</v>
      </c>
      <c r="AY57" s="4">
        <v>23</v>
      </c>
      <c r="AZ57" s="4">
        <v>17</v>
      </c>
      <c r="BA57" s="4">
        <v>4</v>
      </c>
      <c r="BB57" s="4">
        <v>2</v>
      </c>
      <c r="BC57" s="4">
        <v>0</v>
      </c>
      <c r="BD57" s="4">
        <v>2</v>
      </c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  <c r="EM57" s="4"/>
      <c r="EN57" s="4"/>
      <c r="EO57" s="4"/>
      <c r="EP57" s="4"/>
      <c r="EQ57" s="4"/>
      <c r="ER57" s="4"/>
      <c r="ES57" s="4"/>
      <c r="ET57" s="4"/>
      <c r="EU57" s="4"/>
      <c r="EV57" s="4"/>
      <c r="EW57" s="4"/>
      <c r="EX57" s="4"/>
      <c r="EY57" s="4"/>
      <c r="EZ57" s="4"/>
      <c r="FA57" s="4"/>
      <c r="FB57" s="4"/>
      <c r="FC57" s="4"/>
      <c r="FD57" s="4"/>
      <c r="FE57" s="4"/>
      <c r="FF57" s="4"/>
      <c r="FG57" s="4"/>
      <c r="FH57" s="4"/>
      <c r="FI57" s="4"/>
      <c r="FJ57" s="4"/>
      <c r="FK57" s="4"/>
      <c r="FL57" s="4"/>
      <c r="FM57" s="4"/>
      <c r="FN57" s="4"/>
      <c r="FO57" s="4"/>
      <c r="FP57" s="4"/>
      <c r="FQ57" s="4"/>
      <c r="FR57" s="4"/>
      <c r="FS57" s="4"/>
      <c r="FT57" s="4"/>
      <c r="FU57" s="4"/>
      <c r="FV57" s="4"/>
      <c r="FW57" s="4"/>
      <c r="FX57" s="4"/>
      <c r="FY57" s="4"/>
      <c r="FZ57" s="4"/>
      <c r="GA57" s="4"/>
      <c r="GB57" s="4"/>
      <c r="GC57" s="4"/>
      <c r="GD57" s="4"/>
      <c r="GE57" s="4"/>
      <c r="GF57" s="4"/>
      <c r="GG57" s="4"/>
      <c r="GH57" s="4"/>
      <c r="GI57" s="4"/>
      <c r="GJ57" s="4"/>
      <c r="GK57" s="4"/>
      <c r="GL57" s="4"/>
      <c r="GM57" s="4"/>
      <c r="GN57" s="4"/>
      <c r="GO57" s="4"/>
      <c r="GP57" s="4"/>
      <c r="GQ57" s="4"/>
      <c r="GR57" s="4"/>
      <c r="GS57" s="4"/>
      <c r="GT57" s="4"/>
      <c r="GU57" s="4"/>
      <c r="GV57" s="4"/>
      <c r="GW57" s="4"/>
      <c r="GX57" s="4"/>
      <c r="GY57" s="4"/>
      <c r="GZ57" s="4"/>
      <c r="HA57" s="4"/>
      <c r="HB57" s="4"/>
      <c r="HC57" s="4"/>
      <c r="HD57" s="4"/>
      <c r="HE57" s="4"/>
      <c r="HF57" s="4"/>
      <c r="HG57" s="4"/>
      <c r="HH57" s="4"/>
      <c r="HI57" s="4"/>
      <c r="HJ57" s="4"/>
      <c r="HK57" s="4"/>
      <c r="HL57" s="4"/>
      <c r="HM57" s="4"/>
      <c r="HN57" s="4"/>
      <c r="HO57" s="4"/>
      <c r="HP57" s="4"/>
      <c r="HQ57" s="4"/>
      <c r="HR57" s="4"/>
      <c r="HS57" s="4"/>
      <c r="HT57" s="4"/>
      <c r="HU57" s="4"/>
      <c r="HV57" s="4"/>
      <c r="HW57" s="4"/>
      <c r="HX57" s="4"/>
      <c r="HY57" s="4"/>
      <c r="HZ57" s="4"/>
      <c r="IA57" s="4"/>
      <c r="IB57" s="4"/>
      <c r="IC57" s="4"/>
      <c r="ID57" s="4"/>
      <c r="IE57" s="4"/>
      <c r="IF57" s="4"/>
      <c r="IG57" s="4"/>
      <c r="IH57" s="4"/>
      <c r="II57" s="4"/>
      <c r="IJ57" s="4"/>
      <c r="IK57" s="4"/>
      <c r="IL57" s="4"/>
      <c r="IM57" s="4"/>
      <c r="IN57" s="4"/>
      <c r="IO57" s="4"/>
      <c r="IP57" s="4"/>
      <c r="IQ57" s="4"/>
      <c r="IR57" s="4"/>
      <c r="IS57" s="4"/>
      <c r="IT57" s="4"/>
      <c r="IU57" s="4"/>
    </row>
    <row r="58" spans="1:255" ht="16.5" customHeight="1">
      <c r="A58" s="1" t="s">
        <v>60</v>
      </c>
      <c r="B58" s="1">
        <v>2017</v>
      </c>
      <c r="C58" s="1">
        <v>216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1</v>
      </c>
      <c r="Q58" s="1">
        <v>0</v>
      </c>
      <c r="R58" s="1">
        <v>0</v>
      </c>
      <c r="S58" s="1">
        <v>0</v>
      </c>
      <c r="T58" s="1">
        <v>0</v>
      </c>
      <c r="U58" s="1">
        <v>1</v>
      </c>
      <c r="V58" s="1">
        <v>0</v>
      </c>
      <c r="W58" s="1">
        <v>0</v>
      </c>
      <c r="X58" s="1">
        <v>1</v>
      </c>
      <c r="Y58" s="1">
        <v>0</v>
      </c>
      <c r="Z58" s="1">
        <v>1</v>
      </c>
      <c r="AA58" s="1">
        <v>1</v>
      </c>
      <c r="AB58" s="1">
        <v>1</v>
      </c>
      <c r="AC58" s="1">
        <v>1</v>
      </c>
      <c r="AD58" s="1">
        <v>0</v>
      </c>
      <c r="AE58" s="1">
        <v>0</v>
      </c>
      <c r="AF58" s="1">
        <v>0</v>
      </c>
      <c r="AG58" s="1">
        <v>1</v>
      </c>
      <c r="AH58" s="1">
        <v>1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1</v>
      </c>
      <c r="AO58" s="1">
        <v>0</v>
      </c>
      <c r="AP58" s="1">
        <v>3</v>
      </c>
      <c r="AQ58" s="1">
        <v>3</v>
      </c>
      <c r="AR58" s="1">
        <v>8</v>
      </c>
      <c r="AS58" s="1">
        <v>15</v>
      </c>
      <c r="AT58" s="1">
        <v>28</v>
      </c>
      <c r="AU58" s="1">
        <v>32</v>
      </c>
      <c r="AV58" s="1">
        <v>45</v>
      </c>
      <c r="AW58" s="1">
        <v>41</v>
      </c>
      <c r="AX58" s="1">
        <v>19</v>
      </c>
      <c r="AY58" s="1">
        <v>7</v>
      </c>
      <c r="AZ58" s="1">
        <v>3</v>
      </c>
      <c r="BA58" s="1">
        <v>1</v>
      </c>
      <c r="BB58" s="1">
        <v>1</v>
      </c>
      <c r="BC58" s="1">
        <v>0</v>
      </c>
    </row>
    <row r="59" spans="1:255" ht="16.5" customHeight="1">
      <c r="A59" s="1" t="s">
        <v>60</v>
      </c>
      <c r="B59" s="1">
        <v>2018</v>
      </c>
      <c r="C59" s="1">
        <v>148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2</v>
      </c>
      <c r="Q59" s="1">
        <v>0</v>
      </c>
      <c r="R59" s="1">
        <v>0</v>
      </c>
      <c r="S59" s="1">
        <v>1</v>
      </c>
      <c r="T59" s="1">
        <v>1</v>
      </c>
      <c r="U59" s="1">
        <v>0</v>
      </c>
      <c r="V59" s="1">
        <v>0</v>
      </c>
      <c r="W59" s="1">
        <v>0</v>
      </c>
      <c r="X59" s="1">
        <v>1</v>
      </c>
      <c r="Y59" s="1">
        <v>1</v>
      </c>
      <c r="Z59" s="1">
        <v>0</v>
      </c>
      <c r="AA59" s="1">
        <v>0</v>
      </c>
      <c r="AB59" s="1">
        <v>0</v>
      </c>
      <c r="AC59" s="1">
        <v>0</v>
      </c>
      <c r="AD59" s="1">
        <v>2</v>
      </c>
      <c r="AE59" s="1">
        <v>0</v>
      </c>
      <c r="AF59" s="1">
        <v>1</v>
      </c>
      <c r="AG59" s="1">
        <v>1</v>
      </c>
      <c r="AH59" s="1">
        <v>0</v>
      </c>
      <c r="AI59" s="1">
        <v>1</v>
      </c>
      <c r="AJ59" s="1">
        <v>0</v>
      </c>
      <c r="AK59" s="1">
        <v>0</v>
      </c>
      <c r="AL59" s="1">
        <v>1</v>
      </c>
      <c r="AM59" s="1">
        <v>0</v>
      </c>
      <c r="AN59" s="1">
        <v>1</v>
      </c>
      <c r="AO59" s="1">
        <v>2</v>
      </c>
      <c r="AP59" s="1">
        <v>1</v>
      </c>
      <c r="AQ59" s="1">
        <v>0</v>
      </c>
      <c r="AR59" s="1">
        <v>1</v>
      </c>
      <c r="AS59" s="1">
        <v>8</v>
      </c>
      <c r="AT59" s="1">
        <v>21</v>
      </c>
      <c r="AU59" s="1">
        <v>29</v>
      </c>
      <c r="AV59" s="1">
        <v>25</v>
      </c>
      <c r="AW59" s="1">
        <v>33</v>
      </c>
      <c r="AX59" s="1">
        <v>9</v>
      </c>
      <c r="AY59" s="1">
        <v>2</v>
      </c>
      <c r="AZ59" s="1">
        <v>1</v>
      </c>
      <c r="BA59" s="1">
        <v>2</v>
      </c>
      <c r="BB59" s="1">
        <v>1</v>
      </c>
      <c r="BC59" s="1">
        <v>0</v>
      </c>
    </row>
    <row r="60" spans="1:255" ht="16.5" customHeight="1">
      <c r="A60" s="1" t="s">
        <v>60</v>
      </c>
      <c r="B60" s="1">
        <v>2019</v>
      </c>
      <c r="C60" s="1">
        <v>69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1</v>
      </c>
      <c r="AN60" s="1">
        <v>1</v>
      </c>
      <c r="AO60" s="1">
        <v>0</v>
      </c>
      <c r="AP60" s="1">
        <v>2</v>
      </c>
      <c r="AQ60" s="1">
        <v>0</v>
      </c>
      <c r="AR60" s="1">
        <v>0</v>
      </c>
      <c r="AS60" s="1">
        <v>2</v>
      </c>
      <c r="AT60" s="1">
        <v>3</v>
      </c>
      <c r="AU60" s="1">
        <v>4</v>
      </c>
      <c r="AV60" s="1">
        <v>15</v>
      </c>
      <c r="AW60" s="1">
        <v>18</v>
      </c>
      <c r="AX60" s="1">
        <v>15</v>
      </c>
      <c r="AY60" s="1">
        <v>4</v>
      </c>
      <c r="AZ60" s="1">
        <v>2</v>
      </c>
      <c r="BA60" s="1">
        <v>1</v>
      </c>
      <c r="BB60" s="1">
        <v>0</v>
      </c>
      <c r="BC60" s="1">
        <v>1</v>
      </c>
    </row>
    <row r="61" spans="1:255" ht="16.5" customHeight="1">
      <c r="A61" s="3" t="s">
        <v>60</v>
      </c>
      <c r="B61" s="3">
        <v>2020</v>
      </c>
      <c r="C61" s="3">
        <v>125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1</v>
      </c>
      <c r="AQ61" s="3">
        <v>1</v>
      </c>
      <c r="AR61" s="3">
        <v>0</v>
      </c>
      <c r="AS61" s="3">
        <v>3</v>
      </c>
      <c r="AT61" s="3">
        <v>6</v>
      </c>
      <c r="AU61" s="3">
        <v>21</v>
      </c>
      <c r="AV61" s="3">
        <v>27</v>
      </c>
      <c r="AW61" s="3">
        <v>28</v>
      </c>
      <c r="AX61" s="3">
        <v>19</v>
      </c>
      <c r="AY61" s="3">
        <v>8</v>
      </c>
      <c r="AZ61" s="3">
        <v>6</v>
      </c>
      <c r="BA61" s="3">
        <v>4</v>
      </c>
      <c r="BB61" s="3">
        <v>1</v>
      </c>
      <c r="BC61" s="3">
        <v>0</v>
      </c>
    </row>
    <row r="62" spans="1:255" ht="16.5" customHeight="1">
      <c r="A62" s="1" t="s">
        <v>60</v>
      </c>
      <c r="B62" s="1">
        <v>2021</v>
      </c>
      <c r="C62" s="1">
        <v>142</v>
      </c>
      <c r="D62" s="1">
        <v>0</v>
      </c>
      <c r="E62" s="1">
        <v>1</v>
      </c>
      <c r="F62" s="1">
        <v>0</v>
      </c>
      <c r="G62" s="1">
        <v>0</v>
      </c>
      <c r="H62" s="1">
        <v>0</v>
      </c>
      <c r="I62" s="1">
        <v>6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1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2</v>
      </c>
      <c r="Z62" s="1">
        <v>0</v>
      </c>
      <c r="AA62" s="1">
        <v>1</v>
      </c>
      <c r="AB62" s="1">
        <v>1</v>
      </c>
      <c r="AC62" s="1">
        <v>1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1</v>
      </c>
      <c r="AL62" s="1">
        <v>2</v>
      </c>
      <c r="AM62" s="1">
        <v>1</v>
      </c>
      <c r="AN62" s="1">
        <v>0</v>
      </c>
      <c r="AO62" s="1">
        <v>0</v>
      </c>
      <c r="AP62" s="1">
        <v>0</v>
      </c>
      <c r="AQ62" s="1">
        <v>1</v>
      </c>
      <c r="AR62" s="1">
        <v>2</v>
      </c>
      <c r="AS62" s="1">
        <v>6</v>
      </c>
      <c r="AT62" s="1">
        <v>6</v>
      </c>
      <c r="AU62" s="1">
        <v>11</v>
      </c>
      <c r="AV62" s="1">
        <v>7</v>
      </c>
      <c r="AW62" s="1">
        <v>25</v>
      </c>
      <c r="AX62" s="1">
        <v>37</v>
      </c>
      <c r="AY62" s="1">
        <v>14</v>
      </c>
      <c r="AZ62" s="1">
        <v>11</v>
      </c>
      <c r="BA62" s="1">
        <v>4</v>
      </c>
      <c r="BB62" s="1">
        <v>0</v>
      </c>
      <c r="BC62" s="1">
        <v>1</v>
      </c>
    </row>
    <row r="63" spans="1:255" ht="16.5" customHeight="1">
      <c r="A63" s="1" t="s">
        <v>60</v>
      </c>
      <c r="B63" s="1">
        <v>2022</v>
      </c>
      <c r="C63" s="1">
        <v>139</v>
      </c>
      <c r="D63" s="1">
        <v>0</v>
      </c>
      <c r="E63" s="1">
        <v>0</v>
      </c>
      <c r="F63" s="1">
        <v>1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1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1</v>
      </c>
      <c r="AB63" s="1">
        <v>0</v>
      </c>
      <c r="AC63" s="1">
        <v>0</v>
      </c>
      <c r="AD63" s="1">
        <v>0</v>
      </c>
      <c r="AE63" s="1">
        <v>0</v>
      </c>
      <c r="AF63" s="1">
        <v>1</v>
      </c>
      <c r="AG63" s="1">
        <v>1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1</v>
      </c>
      <c r="AN63" s="1">
        <v>1</v>
      </c>
      <c r="AO63" s="1">
        <v>1</v>
      </c>
      <c r="AP63" s="1">
        <v>1</v>
      </c>
      <c r="AQ63" s="1">
        <v>1</v>
      </c>
      <c r="AR63" s="1">
        <v>0</v>
      </c>
      <c r="AS63" s="1">
        <v>2</v>
      </c>
      <c r="AT63" s="1">
        <v>16</v>
      </c>
      <c r="AU63" s="1">
        <v>20</v>
      </c>
      <c r="AV63" s="1">
        <v>27</v>
      </c>
      <c r="AW63" s="1">
        <v>30</v>
      </c>
      <c r="AX63" s="1">
        <v>15</v>
      </c>
      <c r="AY63" s="1">
        <v>10</v>
      </c>
      <c r="AZ63" s="1">
        <v>4</v>
      </c>
      <c r="BA63" s="1">
        <v>3</v>
      </c>
      <c r="BB63" s="1">
        <v>0</v>
      </c>
      <c r="BC63" s="1">
        <v>0</v>
      </c>
    </row>
    <row r="64" spans="1:255" ht="16.5" customHeight="1">
      <c r="A64" s="1" t="s">
        <v>60</v>
      </c>
      <c r="B64" s="1">
        <v>2023</v>
      </c>
      <c r="C64" s="1">
        <v>125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1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2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1</v>
      </c>
      <c r="AJ64" s="1">
        <v>1</v>
      </c>
      <c r="AK64" s="1">
        <v>1</v>
      </c>
      <c r="AL64" s="1">
        <v>0</v>
      </c>
      <c r="AM64" s="1">
        <v>0</v>
      </c>
      <c r="AN64" s="1">
        <v>0</v>
      </c>
      <c r="AO64" s="1">
        <v>0</v>
      </c>
      <c r="AP64" s="1">
        <v>1</v>
      </c>
      <c r="AQ64" s="1">
        <v>0</v>
      </c>
      <c r="AR64" s="1">
        <v>0</v>
      </c>
      <c r="AS64" s="1">
        <v>1</v>
      </c>
      <c r="AT64" s="1">
        <v>8</v>
      </c>
      <c r="AU64" s="1">
        <v>23</v>
      </c>
      <c r="AV64" s="1">
        <v>18</v>
      </c>
      <c r="AW64" s="1">
        <v>22</v>
      </c>
      <c r="AX64" s="1">
        <v>31</v>
      </c>
      <c r="AY64" s="1">
        <v>7</v>
      </c>
      <c r="AZ64" s="1">
        <v>4</v>
      </c>
      <c r="BA64" s="1">
        <v>3</v>
      </c>
      <c r="BB64" s="1">
        <v>0</v>
      </c>
      <c r="BC64" s="1">
        <v>1</v>
      </c>
    </row>
    <row r="65" spans="1:255" ht="16.5" customHeight="1">
      <c r="A65" s="1" t="s">
        <v>60</v>
      </c>
      <c r="B65" s="1">
        <v>2024</v>
      </c>
      <c r="C65" s="1">
        <v>130</v>
      </c>
      <c r="D65" s="1">
        <v>0</v>
      </c>
      <c r="E65" s="1">
        <v>1</v>
      </c>
      <c r="F65" s="1">
        <v>0</v>
      </c>
      <c r="G65" s="1">
        <v>0</v>
      </c>
      <c r="H65" s="1">
        <v>1</v>
      </c>
      <c r="I65" s="1">
        <v>1</v>
      </c>
      <c r="J65" s="1">
        <v>0</v>
      </c>
      <c r="K65" s="1">
        <v>1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1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1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1</v>
      </c>
      <c r="AS65" s="1">
        <v>0</v>
      </c>
      <c r="AT65" s="1">
        <v>5</v>
      </c>
      <c r="AU65" s="1">
        <v>8</v>
      </c>
      <c r="AV65" s="1">
        <v>17</v>
      </c>
      <c r="AW65" s="1">
        <v>11</v>
      </c>
      <c r="AX65" s="1">
        <v>29</v>
      </c>
      <c r="AY65" s="1">
        <v>23</v>
      </c>
      <c r="AZ65" s="1">
        <v>20</v>
      </c>
      <c r="BA65" s="1">
        <v>9</v>
      </c>
      <c r="BB65" s="1">
        <v>0</v>
      </c>
      <c r="BC65" s="1">
        <v>1</v>
      </c>
    </row>
    <row r="66" spans="1:255" ht="16.5" customHeight="1">
      <c r="A66" s="1" t="s">
        <v>60</v>
      </c>
      <c r="B66" s="1">
        <v>2025</v>
      </c>
      <c r="C66" s="1">
        <v>77</v>
      </c>
      <c r="D66" s="1">
        <v>0</v>
      </c>
      <c r="E66" s="1">
        <v>0</v>
      </c>
      <c r="F66" s="1">
        <v>1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1</v>
      </c>
      <c r="AQ66" s="1">
        <v>0</v>
      </c>
      <c r="AR66" s="1">
        <v>0</v>
      </c>
      <c r="AS66" s="1">
        <v>3</v>
      </c>
      <c r="AT66" s="1">
        <v>4</v>
      </c>
      <c r="AU66" s="1">
        <v>4</v>
      </c>
      <c r="AV66" s="1">
        <v>5</v>
      </c>
      <c r="AW66" s="1">
        <v>13</v>
      </c>
      <c r="AX66" s="1">
        <v>17</v>
      </c>
      <c r="AY66" s="1">
        <v>15</v>
      </c>
      <c r="AZ66" s="1">
        <v>8</v>
      </c>
      <c r="BA66" s="1">
        <v>4</v>
      </c>
      <c r="BB66" s="1">
        <v>2</v>
      </c>
      <c r="BC66" s="1">
        <v>0</v>
      </c>
    </row>
    <row r="67" spans="1:255" ht="16.5" customHeight="1">
      <c r="A67" s="2" t="s">
        <v>2</v>
      </c>
      <c r="B67" s="2"/>
      <c r="C67" s="2">
        <f t="shared" ref="C67:AH67" si="10">SUM(C57:C66)</f>
        <v>1406</v>
      </c>
      <c r="D67" s="2">
        <f t="shared" si="10"/>
        <v>0</v>
      </c>
      <c r="E67" s="2">
        <f t="shared" si="10"/>
        <v>2</v>
      </c>
      <c r="F67" s="2">
        <f t="shared" si="10"/>
        <v>2</v>
      </c>
      <c r="G67" s="2">
        <f t="shared" si="10"/>
        <v>0</v>
      </c>
      <c r="H67" s="2">
        <f t="shared" si="10"/>
        <v>1</v>
      </c>
      <c r="I67" s="2">
        <f t="shared" si="10"/>
        <v>7</v>
      </c>
      <c r="J67" s="2">
        <f t="shared" si="10"/>
        <v>1</v>
      </c>
      <c r="K67" s="2">
        <f t="shared" si="10"/>
        <v>1</v>
      </c>
      <c r="L67" s="2">
        <f t="shared" si="10"/>
        <v>0</v>
      </c>
      <c r="M67" s="2">
        <f t="shared" si="10"/>
        <v>0</v>
      </c>
      <c r="N67" s="2">
        <f t="shared" si="10"/>
        <v>1</v>
      </c>
      <c r="O67" s="2">
        <f t="shared" si="10"/>
        <v>0</v>
      </c>
      <c r="P67" s="2">
        <f t="shared" si="10"/>
        <v>5</v>
      </c>
      <c r="Q67" s="2">
        <f t="shared" si="10"/>
        <v>0</v>
      </c>
      <c r="R67" s="2">
        <f t="shared" si="10"/>
        <v>0</v>
      </c>
      <c r="S67" s="2">
        <f t="shared" si="10"/>
        <v>2</v>
      </c>
      <c r="T67" s="2">
        <f t="shared" si="10"/>
        <v>3</v>
      </c>
      <c r="U67" s="2">
        <f t="shared" si="10"/>
        <v>1</v>
      </c>
      <c r="V67" s="2">
        <f t="shared" si="10"/>
        <v>0</v>
      </c>
      <c r="W67" s="2">
        <f t="shared" si="10"/>
        <v>2</v>
      </c>
      <c r="X67" s="2">
        <f t="shared" si="10"/>
        <v>3</v>
      </c>
      <c r="Y67" s="2">
        <f t="shared" si="10"/>
        <v>3</v>
      </c>
      <c r="Z67" s="2">
        <f t="shared" si="10"/>
        <v>2</v>
      </c>
      <c r="AA67" s="2">
        <f t="shared" si="10"/>
        <v>3</v>
      </c>
      <c r="AB67" s="2">
        <f t="shared" si="10"/>
        <v>4</v>
      </c>
      <c r="AC67" s="2">
        <f t="shared" si="10"/>
        <v>4</v>
      </c>
      <c r="AD67" s="2">
        <f t="shared" si="10"/>
        <v>3</v>
      </c>
      <c r="AE67" s="2">
        <f t="shared" si="10"/>
        <v>0</v>
      </c>
      <c r="AF67" s="2">
        <f t="shared" si="10"/>
        <v>3</v>
      </c>
      <c r="AG67" s="2">
        <f t="shared" si="10"/>
        <v>3</v>
      </c>
      <c r="AH67" s="2">
        <f t="shared" si="10"/>
        <v>1</v>
      </c>
      <c r="AI67" s="2">
        <f t="shared" ref="AI67:BD67" si="11">SUM(AI57:AI66)</f>
        <v>2</v>
      </c>
      <c r="AJ67" s="2">
        <f t="shared" si="11"/>
        <v>2</v>
      </c>
      <c r="AK67" s="2">
        <f t="shared" si="11"/>
        <v>2</v>
      </c>
      <c r="AL67" s="2">
        <f t="shared" si="11"/>
        <v>3</v>
      </c>
      <c r="AM67" s="2">
        <f t="shared" si="11"/>
        <v>3</v>
      </c>
      <c r="AN67" s="2">
        <f t="shared" si="11"/>
        <v>6</v>
      </c>
      <c r="AO67" s="2">
        <f t="shared" si="11"/>
        <v>4</v>
      </c>
      <c r="AP67" s="2">
        <f t="shared" si="11"/>
        <v>11</v>
      </c>
      <c r="AQ67" s="2">
        <f t="shared" si="11"/>
        <v>7</v>
      </c>
      <c r="AR67" s="2">
        <f t="shared" si="11"/>
        <v>15</v>
      </c>
      <c r="AS67" s="2">
        <f t="shared" si="11"/>
        <v>41</v>
      </c>
      <c r="AT67" s="2">
        <f t="shared" si="11"/>
        <v>101</v>
      </c>
      <c r="AU67" s="2">
        <f t="shared" si="11"/>
        <v>165</v>
      </c>
      <c r="AV67" s="2">
        <f t="shared" si="11"/>
        <v>233</v>
      </c>
      <c r="AW67" s="2">
        <f t="shared" si="11"/>
        <v>284</v>
      </c>
      <c r="AX67" s="2">
        <f t="shared" si="11"/>
        <v>231</v>
      </c>
      <c r="AY67" s="2">
        <f t="shared" si="11"/>
        <v>113</v>
      </c>
      <c r="AZ67" s="2">
        <f t="shared" si="11"/>
        <v>76</v>
      </c>
      <c r="BA67" s="2">
        <f t="shared" si="11"/>
        <v>35</v>
      </c>
      <c r="BB67" s="2">
        <f t="shared" si="11"/>
        <v>7</v>
      </c>
      <c r="BC67" s="2">
        <f t="shared" si="11"/>
        <v>4</v>
      </c>
      <c r="BD67" s="2">
        <f t="shared" si="11"/>
        <v>2</v>
      </c>
    </row>
    <row r="68" spans="1:255" ht="16.5" customHeight="1">
      <c r="A68" s="4" t="s">
        <v>61</v>
      </c>
      <c r="B68" s="4">
        <v>2016</v>
      </c>
      <c r="C68" s="4">
        <v>310</v>
      </c>
      <c r="D68" s="5">
        <v>3</v>
      </c>
      <c r="E68" s="4">
        <v>0</v>
      </c>
      <c r="F68" s="4">
        <v>0</v>
      </c>
      <c r="G68" s="4">
        <v>1</v>
      </c>
      <c r="H68" s="4">
        <v>0</v>
      </c>
      <c r="I68" s="4">
        <v>1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1</v>
      </c>
      <c r="T68" s="4">
        <v>0</v>
      </c>
      <c r="U68" s="4">
        <v>0</v>
      </c>
      <c r="V68" s="4">
        <v>0</v>
      </c>
      <c r="W68" s="4">
        <v>4</v>
      </c>
      <c r="X68" s="4">
        <v>2</v>
      </c>
      <c r="Y68" s="4">
        <v>4</v>
      </c>
      <c r="Z68" s="4">
        <v>2</v>
      </c>
      <c r="AA68" s="4">
        <v>2</v>
      </c>
      <c r="AB68" s="4">
        <v>3</v>
      </c>
      <c r="AC68" s="4">
        <v>2</v>
      </c>
      <c r="AD68" s="4">
        <v>1</v>
      </c>
      <c r="AE68" s="4">
        <v>0</v>
      </c>
      <c r="AF68" s="4">
        <v>1</v>
      </c>
      <c r="AG68" s="4">
        <v>1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1</v>
      </c>
      <c r="AP68" s="4">
        <v>4</v>
      </c>
      <c r="AQ68" s="4">
        <v>6</v>
      </c>
      <c r="AR68" s="4">
        <v>1</v>
      </c>
      <c r="AS68" s="4">
        <v>8</v>
      </c>
      <c r="AT68" s="4">
        <v>22</v>
      </c>
      <c r="AU68" s="4">
        <v>27</v>
      </c>
      <c r="AV68" s="4">
        <v>94</v>
      </c>
      <c r="AW68" s="4">
        <v>68</v>
      </c>
      <c r="AX68" s="4">
        <v>32</v>
      </c>
      <c r="AY68" s="4">
        <v>13</v>
      </c>
      <c r="AZ68" s="4">
        <v>2</v>
      </c>
      <c r="BA68" s="4">
        <v>2</v>
      </c>
      <c r="BB68" s="4">
        <v>2</v>
      </c>
      <c r="BC68" s="4">
        <v>0</v>
      </c>
      <c r="BD68" s="4">
        <v>0</v>
      </c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  <c r="EM68" s="4"/>
      <c r="EN68" s="4"/>
      <c r="EO68" s="4"/>
      <c r="EP68" s="4"/>
      <c r="EQ68" s="4"/>
      <c r="ER68" s="4"/>
      <c r="ES68" s="4"/>
      <c r="ET68" s="4"/>
      <c r="EU68" s="4"/>
      <c r="EV68" s="4"/>
      <c r="EW68" s="4"/>
      <c r="EX68" s="4"/>
      <c r="EY68" s="4"/>
      <c r="EZ68" s="4"/>
      <c r="FA68" s="4"/>
      <c r="FB68" s="4"/>
      <c r="FC68" s="4"/>
      <c r="FD68" s="4"/>
      <c r="FE68" s="4"/>
      <c r="FF68" s="4"/>
      <c r="FG68" s="4"/>
      <c r="FH68" s="4"/>
      <c r="FI68" s="4"/>
      <c r="FJ68" s="4"/>
      <c r="FK68" s="4"/>
      <c r="FL68" s="4"/>
      <c r="FM68" s="4"/>
      <c r="FN68" s="4"/>
      <c r="FO68" s="4"/>
      <c r="FP68" s="4"/>
      <c r="FQ68" s="4"/>
      <c r="FR68" s="4"/>
      <c r="FS68" s="4"/>
      <c r="FT68" s="4"/>
      <c r="FU68" s="4"/>
      <c r="FV68" s="4"/>
      <c r="FW68" s="4"/>
      <c r="FX68" s="4"/>
      <c r="FY68" s="4"/>
      <c r="FZ68" s="4"/>
      <c r="GA68" s="4"/>
      <c r="GB68" s="4"/>
      <c r="GC68" s="4"/>
      <c r="GD68" s="4"/>
      <c r="GE68" s="4"/>
      <c r="GF68" s="4"/>
      <c r="GG68" s="4"/>
      <c r="GH68" s="4"/>
      <c r="GI68" s="4"/>
      <c r="GJ68" s="4"/>
      <c r="GK68" s="4"/>
      <c r="GL68" s="4"/>
      <c r="GM68" s="4"/>
      <c r="GN68" s="4"/>
      <c r="GO68" s="4"/>
      <c r="GP68" s="4"/>
      <c r="GQ68" s="4"/>
      <c r="GR68" s="4"/>
      <c r="GS68" s="4"/>
      <c r="GT68" s="4"/>
      <c r="GU68" s="4"/>
      <c r="GV68" s="4"/>
      <c r="GW68" s="4"/>
      <c r="GX68" s="4"/>
      <c r="GY68" s="4"/>
      <c r="GZ68" s="4"/>
      <c r="HA68" s="4"/>
      <c r="HB68" s="4"/>
      <c r="HC68" s="4"/>
      <c r="HD68" s="4"/>
      <c r="HE68" s="4"/>
      <c r="HF68" s="4"/>
      <c r="HG68" s="4"/>
      <c r="HH68" s="4"/>
      <c r="HI68" s="4"/>
      <c r="HJ68" s="4"/>
      <c r="HK68" s="4"/>
      <c r="HL68" s="4"/>
      <c r="HM68" s="4"/>
      <c r="HN68" s="4"/>
      <c r="HO68" s="4"/>
      <c r="HP68" s="4"/>
      <c r="HQ68" s="4"/>
      <c r="HR68" s="4"/>
      <c r="HS68" s="4"/>
      <c r="HT68" s="4"/>
      <c r="HU68" s="4"/>
      <c r="HV68" s="4"/>
      <c r="HW68" s="4"/>
      <c r="HX68" s="4"/>
      <c r="HY68" s="4"/>
      <c r="HZ68" s="4"/>
      <c r="IA68" s="4"/>
      <c r="IB68" s="4"/>
      <c r="IC68" s="4"/>
      <c r="ID68" s="4"/>
      <c r="IE68" s="4"/>
      <c r="IF68" s="4"/>
      <c r="IG68" s="4"/>
      <c r="IH68" s="4"/>
      <c r="II68" s="4"/>
      <c r="IJ68" s="4"/>
      <c r="IK68" s="4"/>
      <c r="IL68" s="4"/>
      <c r="IM68" s="4"/>
      <c r="IN68" s="4"/>
      <c r="IO68" s="4"/>
      <c r="IP68" s="4"/>
      <c r="IQ68" s="4"/>
      <c r="IR68" s="4"/>
      <c r="IS68" s="4"/>
      <c r="IT68" s="4"/>
      <c r="IU68" s="4"/>
    </row>
    <row r="69" spans="1:255" ht="16.5" customHeight="1">
      <c r="A69" s="1" t="s">
        <v>61</v>
      </c>
      <c r="B69" s="1">
        <v>2017</v>
      </c>
      <c r="C69" s="1">
        <v>297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1</v>
      </c>
      <c r="K69" s="1">
        <v>1</v>
      </c>
      <c r="L69" s="1">
        <v>0</v>
      </c>
      <c r="M69" s="1">
        <v>0</v>
      </c>
      <c r="N69" s="1">
        <v>0</v>
      </c>
      <c r="O69" s="1">
        <v>1</v>
      </c>
      <c r="P69" s="1">
        <v>0</v>
      </c>
      <c r="Q69" s="1">
        <v>0</v>
      </c>
      <c r="R69" s="1">
        <v>1</v>
      </c>
      <c r="S69" s="1">
        <v>1</v>
      </c>
      <c r="T69" s="1">
        <v>1</v>
      </c>
      <c r="U69" s="1">
        <v>1</v>
      </c>
      <c r="V69" s="1">
        <v>4</v>
      </c>
      <c r="W69" s="1">
        <v>3</v>
      </c>
      <c r="X69" s="1">
        <v>0</v>
      </c>
      <c r="Y69" s="1">
        <v>2</v>
      </c>
      <c r="Z69" s="1">
        <v>1</v>
      </c>
      <c r="AA69" s="1">
        <v>0</v>
      </c>
      <c r="AB69" s="1">
        <v>3</v>
      </c>
      <c r="AC69" s="1">
        <v>1</v>
      </c>
      <c r="AD69" s="1">
        <v>1</v>
      </c>
      <c r="AE69" s="1">
        <v>1</v>
      </c>
      <c r="AF69" s="1">
        <v>2</v>
      </c>
      <c r="AG69" s="1">
        <v>0</v>
      </c>
      <c r="AH69" s="1">
        <v>0</v>
      </c>
      <c r="AI69" s="1">
        <v>0</v>
      </c>
      <c r="AJ69" s="1">
        <v>0</v>
      </c>
      <c r="AK69" s="1">
        <v>1</v>
      </c>
      <c r="AL69" s="1">
        <v>3</v>
      </c>
      <c r="AM69" s="1">
        <v>1</v>
      </c>
      <c r="AN69" s="1">
        <v>1</v>
      </c>
      <c r="AO69" s="1">
        <v>2</v>
      </c>
      <c r="AP69" s="1">
        <v>1</v>
      </c>
      <c r="AQ69" s="1">
        <v>5</v>
      </c>
      <c r="AR69" s="1">
        <v>12</v>
      </c>
      <c r="AS69" s="1">
        <v>36</v>
      </c>
      <c r="AT69" s="1">
        <v>57</v>
      </c>
      <c r="AU69" s="1">
        <v>48</v>
      </c>
      <c r="AV69" s="1">
        <v>41</v>
      </c>
      <c r="AW69" s="1">
        <v>31</v>
      </c>
      <c r="AX69" s="1">
        <v>17</v>
      </c>
      <c r="AY69" s="1">
        <v>7</v>
      </c>
      <c r="AZ69" s="1">
        <v>6</v>
      </c>
      <c r="BA69" s="1">
        <v>3</v>
      </c>
      <c r="BB69" s="1">
        <v>0</v>
      </c>
      <c r="BC69" s="1">
        <v>0</v>
      </c>
    </row>
    <row r="70" spans="1:255" ht="16.5" customHeight="1">
      <c r="A70" s="1" t="s">
        <v>61</v>
      </c>
      <c r="B70" s="1">
        <v>2018</v>
      </c>
      <c r="C70" s="1">
        <v>182</v>
      </c>
      <c r="D70" s="1">
        <v>0</v>
      </c>
      <c r="E70" s="1">
        <v>0</v>
      </c>
      <c r="F70" s="1">
        <v>1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1</v>
      </c>
      <c r="P70" s="1">
        <v>0</v>
      </c>
      <c r="Q70" s="1">
        <v>0</v>
      </c>
      <c r="R70" s="1">
        <v>0</v>
      </c>
      <c r="S70" s="1">
        <v>1</v>
      </c>
      <c r="T70" s="1">
        <v>1</v>
      </c>
      <c r="U70" s="1">
        <v>0</v>
      </c>
      <c r="V70" s="1">
        <v>3</v>
      </c>
      <c r="W70" s="1">
        <v>0</v>
      </c>
      <c r="X70" s="1">
        <v>2</v>
      </c>
      <c r="Y70" s="1">
        <v>1</v>
      </c>
      <c r="Z70" s="1">
        <v>0</v>
      </c>
      <c r="AA70" s="1">
        <v>2</v>
      </c>
      <c r="AB70" s="1">
        <v>0</v>
      </c>
      <c r="AC70" s="1">
        <v>0</v>
      </c>
      <c r="AD70" s="1">
        <v>1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3</v>
      </c>
      <c r="AK70" s="1">
        <v>1</v>
      </c>
      <c r="AL70" s="1">
        <v>0</v>
      </c>
      <c r="AM70" s="1">
        <v>1</v>
      </c>
      <c r="AN70" s="1">
        <v>0</v>
      </c>
      <c r="AO70" s="1">
        <v>2</v>
      </c>
      <c r="AP70" s="1">
        <v>2</v>
      </c>
      <c r="AQ70" s="1">
        <v>0</v>
      </c>
      <c r="AR70" s="1">
        <v>6</v>
      </c>
      <c r="AS70" s="1">
        <v>14</v>
      </c>
      <c r="AT70" s="1">
        <v>34</v>
      </c>
      <c r="AU70" s="1">
        <v>42</v>
      </c>
      <c r="AV70" s="1">
        <v>32</v>
      </c>
      <c r="AW70" s="1">
        <v>15</v>
      </c>
      <c r="AX70" s="1">
        <v>12</v>
      </c>
      <c r="AY70" s="1">
        <v>1</v>
      </c>
      <c r="AZ70" s="1">
        <v>3</v>
      </c>
      <c r="BA70" s="1">
        <v>0</v>
      </c>
      <c r="BB70" s="1">
        <v>1</v>
      </c>
      <c r="BC70" s="1">
        <v>0</v>
      </c>
    </row>
    <row r="71" spans="1:255" ht="16.5" customHeight="1">
      <c r="A71" s="1" t="s">
        <v>61</v>
      </c>
      <c r="B71" s="1">
        <v>2019</v>
      </c>
      <c r="C71" s="1">
        <v>117</v>
      </c>
      <c r="D71" s="1">
        <v>0</v>
      </c>
      <c r="E71" s="1">
        <v>0</v>
      </c>
      <c r="F71" s="1">
        <v>0</v>
      </c>
      <c r="G71" s="1">
        <v>1</v>
      </c>
      <c r="H71" s="1">
        <v>1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1</v>
      </c>
      <c r="W71" s="1">
        <v>0</v>
      </c>
      <c r="X71" s="1">
        <v>0</v>
      </c>
      <c r="Y71" s="1">
        <v>0</v>
      </c>
      <c r="Z71" s="1">
        <v>2</v>
      </c>
      <c r="AA71" s="1">
        <v>0</v>
      </c>
      <c r="AB71" s="1">
        <v>0</v>
      </c>
      <c r="AC71" s="1">
        <v>2</v>
      </c>
      <c r="AD71" s="1">
        <v>0</v>
      </c>
      <c r="AE71" s="1">
        <v>1</v>
      </c>
      <c r="AF71" s="1">
        <v>0</v>
      </c>
      <c r="AG71" s="1">
        <v>1</v>
      </c>
      <c r="AH71" s="1">
        <v>3</v>
      </c>
      <c r="AI71" s="1">
        <v>0</v>
      </c>
      <c r="AJ71" s="1">
        <v>1</v>
      </c>
      <c r="AK71" s="1">
        <v>3</v>
      </c>
      <c r="AL71" s="1">
        <v>1</v>
      </c>
      <c r="AM71" s="1">
        <v>1</v>
      </c>
      <c r="AN71" s="1">
        <v>1</v>
      </c>
      <c r="AO71" s="1">
        <v>1</v>
      </c>
      <c r="AP71" s="1">
        <v>1</v>
      </c>
      <c r="AQ71" s="1">
        <v>0</v>
      </c>
      <c r="AR71" s="1">
        <v>1</v>
      </c>
      <c r="AS71" s="1">
        <v>4</v>
      </c>
      <c r="AT71" s="1">
        <v>4</v>
      </c>
      <c r="AU71" s="1">
        <v>7</v>
      </c>
      <c r="AV71" s="1">
        <v>21</v>
      </c>
      <c r="AW71" s="1">
        <v>25</v>
      </c>
      <c r="AX71" s="1">
        <v>14</v>
      </c>
      <c r="AY71" s="1">
        <v>10</v>
      </c>
      <c r="AZ71" s="1">
        <v>7</v>
      </c>
      <c r="BA71" s="1">
        <v>1</v>
      </c>
      <c r="BB71" s="1">
        <v>2</v>
      </c>
      <c r="BC71" s="1">
        <v>0</v>
      </c>
    </row>
    <row r="72" spans="1:255" ht="16.5" customHeight="1">
      <c r="A72" s="1" t="s">
        <v>61</v>
      </c>
      <c r="B72" s="1">
        <v>2020</v>
      </c>
      <c r="C72" s="1">
        <v>113</v>
      </c>
      <c r="D72" s="1">
        <v>0</v>
      </c>
      <c r="E72" s="1">
        <v>0</v>
      </c>
      <c r="F72" s="1">
        <v>1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1</v>
      </c>
      <c r="P72" s="1">
        <v>0</v>
      </c>
      <c r="Q72" s="1">
        <v>0</v>
      </c>
      <c r="R72" s="1">
        <v>1</v>
      </c>
      <c r="S72" s="1">
        <v>0</v>
      </c>
      <c r="T72" s="1">
        <v>0</v>
      </c>
      <c r="U72" s="1">
        <v>0</v>
      </c>
      <c r="V72" s="1">
        <v>1</v>
      </c>
      <c r="W72" s="1">
        <v>0</v>
      </c>
      <c r="X72" s="1">
        <v>0</v>
      </c>
      <c r="Y72" s="1">
        <v>1</v>
      </c>
      <c r="Z72" s="1">
        <v>0</v>
      </c>
      <c r="AA72" s="1">
        <v>1</v>
      </c>
      <c r="AB72" s="1">
        <v>1</v>
      </c>
      <c r="AC72" s="1">
        <v>1</v>
      </c>
      <c r="AD72" s="1">
        <v>0</v>
      </c>
      <c r="AE72" s="1">
        <v>0</v>
      </c>
      <c r="AF72" s="1">
        <v>0</v>
      </c>
      <c r="AG72" s="1">
        <v>0</v>
      </c>
      <c r="AH72" s="1">
        <v>1</v>
      </c>
      <c r="AI72" s="1">
        <v>0</v>
      </c>
      <c r="AJ72" s="1">
        <v>1</v>
      </c>
      <c r="AK72" s="1">
        <v>0</v>
      </c>
      <c r="AL72" s="1">
        <v>0</v>
      </c>
      <c r="AM72" s="1">
        <v>0</v>
      </c>
      <c r="AN72" s="1">
        <v>1</v>
      </c>
      <c r="AO72" s="1">
        <v>0</v>
      </c>
      <c r="AP72" s="1">
        <v>0</v>
      </c>
      <c r="AQ72" s="1">
        <v>0</v>
      </c>
      <c r="AR72" s="1">
        <v>1</v>
      </c>
      <c r="AS72" s="1">
        <v>2</v>
      </c>
      <c r="AT72" s="1">
        <v>12</v>
      </c>
      <c r="AU72" s="1">
        <v>19</v>
      </c>
      <c r="AV72" s="1">
        <v>14</v>
      </c>
      <c r="AW72" s="1">
        <v>30</v>
      </c>
      <c r="AX72" s="1">
        <v>13</v>
      </c>
      <c r="AY72" s="1">
        <v>6</v>
      </c>
      <c r="AZ72" s="1">
        <v>3</v>
      </c>
      <c r="BA72" s="1">
        <v>2</v>
      </c>
      <c r="BB72" s="1">
        <v>0</v>
      </c>
      <c r="BC72" s="1">
        <v>0</v>
      </c>
    </row>
    <row r="73" spans="1:255" ht="16.5" customHeight="1">
      <c r="A73" s="3" t="s">
        <v>61</v>
      </c>
      <c r="B73" s="3">
        <v>2021</v>
      </c>
      <c r="C73" s="3">
        <v>156</v>
      </c>
      <c r="D73" s="3">
        <v>0</v>
      </c>
      <c r="E73" s="3">
        <v>0</v>
      </c>
      <c r="F73" s="3">
        <v>0</v>
      </c>
      <c r="G73" s="3">
        <v>0</v>
      </c>
      <c r="H73" s="3">
        <v>1</v>
      </c>
      <c r="I73" s="3">
        <v>0</v>
      </c>
      <c r="J73" s="3">
        <v>0</v>
      </c>
      <c r="K73" s="3">
        <v>0</v>
      </c>
      <c r="L73" s="3">
        <v>0</v>
      </c>
      <c r="M73" s="3">
        <v>1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2</v>
      </c>
      <c r="AB73" s="3">
        <v>0</v>
      </c>
      <c r="AC73" s="3">
        <v>1</v>
      </c>
      <c r="AD73" s="3">
        <v>1</v>
      </c>
      <c r="AE73" s="3">
        <v>2</v>
      </c>
      <c r="AF73" s="3">
        <v>0</v>
      </c>
      <c r="AG73" s="3">
        <v>0</v>
      </c>
      <c r="AH73" s="3">
        <v>0</v>
      </c>
      <c r="AI73" s="3">
        <v>0</v>
      </c>
      <c r="AJ73" s="3">
        <v>3</v>
      </c>
      <c r="AK73" s="3">
        <v>0</v>
      </c>
      <c r="AL73" s="3">
        <v>0</v>
      </c>
      <c r="AM73" s="3">
        <v>1</v>
      </c>
      <c r="AN73" s="3">
        <v>0</v>
      </c>
      <c r="AO73" s="3">
        <v>2</v>
      </c>
      <c r="AP73" s="3">
        <v>2</v>
      </c>
      <c r="AQ73" s="3">
        <v>2</v>
      </c>
      <c r="AR73" s="3">
        <v>3</v>
      </c>
      <c r="AS73" s="3">
        <v>4</v>
      </c>
      <c r="AT73" s="3">
        <v>10</v>
      </c>
      <c r="AU73" s="3">
        <v>13</v>
      </c>
      <c r="AV73" s="3">
        <v>12</v>
      </c>
      <c r="AW73" s="3">
        <v>25</v>
      </c>
      <c r="AX73" s="3">
        <v>33</v>
      </c>
      <c r="AY73" s="3">
        <v>15</v>
      </c>
      <c r="AZ73" s="3">
        <v>11</v>
      </c>
      <c r="BA73" s="3">
        <v>3</v>
      </c>
      <c r="BB73" s="3">
        <v>9</v>
      </c>
      <c r="BC73" s="3">
        <v>0</v>
      </c>
    </row>
    <row r="74" spans="1:255" ht="16.5" customHeight="1">
      <c r="A74" s="1" t="s">
        <v>61</v>
      </c>
      <c r="B74" s="1">
        <v>2022</v>
      </c>
      <c r="C74" s="1">
        <v>179</v>
      </c>
      <c r="D74" s="1">
        <v>4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1</v>
      </c>
      <c r="K74" s="1">
        <v>0</v>
      </c>
      <c r="L74" s="1">
        <v>1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3</v>
      </c>
      <c r="V74" s="1">
        <v>1</v>
      </c>
      <c r="W74" s="1">
        <v>0</v>
      </c>
      <c r="X74" s="1">
        <v>1</v>
      </c>
      <c r="Y74" s="1">
        <v>0</v>
      </c>
      <c r="Z74" s="1">
        <v>0</v>
      </c>
      <c r="AA74" s="1">
        <v>1</v>
      </c>
      <c r="AB74" s="1">
        <v>0</v>
      </c>
      <c r="AC74" s="1">
        <v>0</v>
      </c>
      <c r="AD74" s="1">
        <v>2</v>
      </c>
      <c r="AE74" s="1">
        <v>0</v>
      </c>
      <c r="AF74" s="1">
        <v>2</v>
      </c>
      <c r="AG74" s="1">
        <v>0</v>
      </c>
      <c r="AH74" s="1">
        <v>0</v>
      </c>
      <c r="AI74" s="1">
        <v>0</v>
      </c>
      <c r="AJ74" s="1">
        <v>0</v>
      </c>
      <c r="AK74" s="1">
        <v>1</v>
      </c>
      <c r="AL74" s="1">
        <v>2</v>
      </c>
      <c r="AM74" s="1">
        <v>2</v>
      </c>
      <c r="AN74" s="1">
        <v>0</v>
      </c>
      <c r="AO74" s="1">
        <v>1</v>
      </c>
      <c r="AP74" s="1">
        <v>0</v>
      </c>
      <c r="AQ74" s="1">
        <v>3</v>
      </c>
      <c r="AR74" s="1">
        <v>3</v>
      </c>
      <c r="AS74" s="1">
        <v>4</v>
      </c>
      <c r="AT74" s="1">
        <v>19</v>
      </c>
      <c r="AU74" s="1">
        <v>19</v>
      </c>
      <c r="AV74" s="1">
        <v>35</v>
      </c>
      <c r="AW74" s="1">
        <v>33</v>
      </c>
      <c r="AX74" s="1">
        <v>21</v>
      </c>
      <c r="AY74" s="1">
        <v>11</v>
      </c>
      <c r="AZ74" s="1">
        <v>4</v>
      </c>
      <c r="BA74" s="1">
        <v>4</v>
      </c>
      <c r="BB74" s="1">
        <v>0</v>
      </c>
      <c r="BC74" s="1">
        <v>1</v>
      </c>
    </row>
    <row r="75" spans="1:255" ht="16.5" customHeight="1">
      <c r="A75" s="1" t="s">
        <v>61</v>
      </c>
      <c r="B75" s="1">
        <v>2023</v>
      </c>
      <c r="C75" s="1">
        <v>133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1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1</v>
      </c>
      <c r="AA75" s="1">
        <v>1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1</v>
      </c>
      <c r="AH75" s="1">
        <v>1</v>
      </c>
      <c r="AI75" s="1">
        <v>0</v>
      </c>
      <c r="AJ75" s="1">
        <v>2</v>
      </c>
      <c r="AK75" s="1">
        <v>1</v>
      </c>
      <c r="AL75" s="1">
        <v>1</v>
      </c>
      <c r="AM75" s="1">
        <v>0</v>
      </c>
      <c r="AN75" s="1">
        <v>3</v>
      </c>
      <c r="AO75" s="1">
        <v>3</v>
      </c>
      <c r="AP75" s="1">
        <v>0</v>
      </c>
      <c r="AQ75" s="1">
        <v>2</v>
      </c>
      <c r="AR75" s="1">
        <v>2</v>
      </c>
      <c r="AS75" s="1">
        <v>6</v>
      </c>
      <c r="AT75" s="1">
        <v>11</v>
      </c>
      <c r="AU75" s="1">
        <v>24</v>
      </c>
      <c r="AV75" s="1">
        <v>23</v>
      </c>
      <c r="AW75" s="1">
        <v>34</v>
      </c>
      <c r="AX75" s="1">
        <v>9</v>
      </c>
      <c r="AY75" s="1">
        <v>4</v>
      </c>
      <c r="AZ75" s="1">
        <v>0</v>
      </c>
      <c r="BA75" s="1">
        <v>0</v>
      </c>
      <c r="BB75" s="1">
        <v>2</v>
      </c>
      <c r="BC75" s="1">
        <v>1</v>
      </c>
    </row>
    <row r="76" spans="1:255" ht="16.5" customHeight="1">
      <c r="A76" s="1" t="s">
        <v>61</v>
      </c>
      <c r="B76" s="1">
        <v>2024</v>
      </c>
      <c r="C76" s="1">
        <v>162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1</v>
      </c>
      <c r="J76" s="1">
        <v>1</v>
      </c>
      <c r="K76" s="1">
        <v>1</v>
      </c>
      <c r="L76" s="1">
        <v>0</v>
      </c>
      <c r="M76" s="1">
        <v>1</v>
      </c>
      <c r="N76" s="1">
        <v>0</v>
      </c>
      <c r="O76" s="1">
        <v>1</v>
      </c>
      <c r="P76" s="1">
        <v>0</v>
      </c>
      <c r="Q76" s="1">
        <v>0</v>
      </c>
      <c r="R76" s="1">
        <v>1</v>
      </c>
      <c r="S76" s="1">
        <v>1</v>
      </c>
      <c r="T76" s="1">
        <v>0</v>
      </c>
      <c r="U76" s="1">
        <v>0</v>
      </c>
      <c r="V76" s="1">
        <v>0</v>
      </c>
      <c r="W76" s="1">
        <v>1</v>
      </c>
      <c r="X76" s="1">
        <v>0</v>
      </c>
      <c r="Y76" s="1">
        <v>0</v>
      </c>
      <c r="Z76" s="1">
        <v>0</v>
      </c>
      <c r="AA76" s="1">
        <v>1</v>
      </c>
      <c r="AB76" s="1">
        <v>0</v>
      </c>
      <c r="AC76" s="1">
        <v>0</v>
      </c>
      <c r="AD76" s="1">
        <v>0</v>
      </c>
      <c r="AE76" s="1">
        <v>0</v>
      </c>
      <c r="AF76" s="1">
        <v>1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1</v>
      </c>
      <c r="AM76" s="1">
        <v>0</v>
      </c>
      <c r="AN76" s="1">
        <v>2</v>
      </c>
      <c r="AO76" s="1">
        <v>0</v>
      </c>
      <c r="AP76" s="1">
        <v>0</v>
      </c>
      <c r="AQ76" s="1">
        <v>1</v>
      </c>
      <c r="AR76" s="1">
        <v>1</v>
      </c>
      <c r="AS76" s="1">
        <v>0</v>
      </c>
      <c r="AT76" s="1">
        <v>12</v>
      </c>
      <c r="AU76" s="1">
        <v>19</v>
      </c>
      <c r="AV76" s="1">
        <v>23</v>
      </c>
      <c r="AW76" s="1">
        <v>23</v>
      </c>
      <c r="AX76" s="1">
        <v>27</v>
      </c>
      <c r="AY76" s="1">
        <v>17</v>
      </c>
      <c r="AZ76" s="1">
        <v>16</v>
      </c>
      <c r="BA76" s="1">
        <v>8</v>
      </c>
      <c r="BB76" s="1">
        <v>1</v>
      </c>
      <c r="BC76" s="1">
        <v>1</v>
      </c>
    </row>
    <row r="77" spans="1:255" ht="16.5" customHeight="1">
      <c r="A77" s="1" t="s">
        <v>61</v>
      </c>
      <c r="B77" s="1">
        <v>2025</v>
      </c>
      <c r="C77" s="1">
        <v>131</v>
      </c>
      <c r="D77" s="1">
        <v>0</v>
      </c>
      <c r="E77" s="1">
        <v>0</v>
      </c>
      <c r="F77" s="1">
        <v>0</v>
      </c>
      <c r="G77" s="1">
        <v>1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1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1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1</v>
      </c>
      <c r="AI77" s="1">
        <v>0</v>
      </c>
      <c r="AJ77" s="1">
        <v>0</v>
      </c>
      <c r="AK77" s="1">
        <v>2</v>
      </c>
      <c r="AL77" s="1">
        <v>1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3</v>
      </c>
      <c r="AT77" s="1">
        <v>6</v>
      </c>
      <c r="AU77" s="1">
        <v>6</v>
      </c>
      <c r="AV77" s="1">
        <v>7</v>
      </c>
      <c r="AW77" s="1">
        <v>35</v>
      </c>
      <c r="AX77" s="1">
        <v>30</v>
      </c>
      <c r="AY77" s="1">
        <v>18</v>
      </c>
      <c r="AZ77" s="1">
        <v>14</v>
      </c>
      <c r="BA77" s="1">
        <v>3</v>
      </c>
      <c r="BB77" s="1">
        <v>2</v>
      </c>
      <c r="BC77" s="1">
        <v>0</v>
      </c>
    </row>
    <row r="78" spans="1:255" ht="16.5" customHeight="1">
      <c r="A78" s="2" t="s">
        <v>2</v>
      </c>
      <c r="B78" s="2"/>
      <c r="C78" s="2">
        <f t="shared" ref="C78:AH78" si="12">SUM(C68:C77)</f>
        <v>1780</v>
      </c>
      <c r="D78" s="2">
        <f t="shared" si="12"/>
        <v>7</v>
      </c>
      <c r="E78" s="2">
        <f t="shared" si="12"/>
        <v>0</v>
      </c>
      <c r="F78" s="2">
        <f t="shared" si="12"/>
        <v>2</v>
      </c>
      <c r="G78" s="2">
        <f t="shared" si="12"/>
        <v>3</v>
      </c>
      <c r="H78" s="2">
        <f t="shared" si="12"/>
        <v>2</v>
      </c>
      <c r="I78" s="2">
        <f t="shared" si="12"/>
        <v>2</v>
      </c>
      <c r="J78" s="2">
        <f t="shared" si="12"/>
        <v>3</v>
      </c>
      <c r="K78" s="2">
        <f t="shared" si="12"/>
        <v>2</v>
      </c>
      <c r="L78" s="2">
        <f t="shared" si="12"/>
        <v>1</v>
      </c>
      <c r="M78" s="2">
        <f t="shared" si="12"/>
        <v>2</v>
      </c>
      <c r="N78" s="2">
        <f t="shared" si="12"/>
        <v>0</v>
      </c>
      <c r="O78" s="2">
        <f t="shared" si="12"/>
        <v>4</v>
      </c>
      <c r="P78" s="2">
        <f t="shared" si="12"/>
        <v>1</v>
      </c>
      <c r="Q78" s="2">
        <f t="shared" si="12"/>
        <v>0</v>
      </c>
      <c r="R78" s="2">
        <f t="shared" si="12"/>
        <v>3</v>
      </c>
      <c r="S78" s="2">
        <f t="shared" si="12"/>
        <v>4</v>
      </c>
      <c r="T78" s="2">
        <f t="shared" si="12"/>
        <v>2</v>
      </c>
      <c r="U78" s="2">
        <f t="shared" si="12"/>
        <v>4</v>
      </c>
      <c r="V78" s="2">
        <f t="shared" si="12"/>
        <v>11</v>
      </c>
      <c r="W78" s="2">
        <f t="shared" si="12"/>
        <v>8</v>
      </c>
      <c r="X78" s="2">
        <f t="shared" si="12"/>
        <v>5</v>
      </c>
      <c r="Y78" s="2">
        <f t="shared" si="12"/>
        <v>8</v>
      </c>
      <c r="Z78" s="2">
        <f t="shared" si="12"/>
        <v>6</v>
      </c>
      <c r="AA78" s="2">
        <f t="shared" si="12"/>
        <v>10</v>
      </c>
      <c r="AB78" s="2">
        <f t="shared" si="12"/>
        <v>8</v>
      </c>
      <c r="AC78" s="2">
        <f t="shared" si="12"/>
        <v>7</v>
      </c>
      <c r="AD78" s="2">
        <f t="shared" si="12"/>
        <v>6</v>
      </c>
      <c r="AE78" s="2">
        <f t="shared" si="12"/>
        <v>4</v>
      </c>
      <c r="AF78" s="2">
        <f t="shared" si="12"/>
        <v>6</v>
      </c>
      <c r="AG78" s="2">
        <f t="shared" si="12"/>
        <v>3</v>
      </c>
      <c r="AH78" s="2">
        <f t="shared" si="12"/>
        <v>6</v>
      </c>
      <c r="AI78" s="2">
        <f t="shared" ref="AI78:BD78" si="13">SUM(AI68:AI77)</f>
        <v>0</v>
      </c>
      <c r="AJ78" s="2">
        <f t="shared" si="13"/>
        <v>10</v>
      </c>
      <c r="AK78" s="2">
        <f t="shared" si="13"/>
        <v>9</v>
      </c>
      <c r="AL78" s="2">
        <f t="shared" si="13"/>
        <v>9</v>
      </c>
      <c r="AM78" s="2">
        <f t="shared" si="13"/>
        <v>6</v>
      </c>
      <c r="AN78" s="2">
        <f t="shared" si="13"/>
        <v>8</v>
      </c>
      <c r="AO78" s="2">
        <f t="shared" si="13"/>
        <v>12</v>
      </c>
      <c r="AP78" s="2">
        <f t="shared" si="13"/>
        <v>10</v>
      </c>
      <c r="AQ78" s="2">
        <f t="shared" si="13"/>
        <v>19</v>
      </c>
      <c r="AR78" s="2">
        <f t="shared" si="13"/>
        <v>30</v>
      </c>
      <c r="AS78" s="2">
        <f t="shared" si="13"/>
        <v>81</v>
      </c>
      <c r="AT78" s="2">
        <f t="shared" si="13"/>
        <v>187</v>
      </c>
      <c r="AU78" s="2">
        <f t="shared" si="13"/>
        <v>224</v>
      </c>
      <c r="AV78" s="2">
        <f t="shared" si="13"/>
        <v>302</v>
      </c>
      <c r="AW78" s="2">
        <f t="shared" si="13"/>
        <v>319</v>
      </c>
      <c r="AX78" s="2">
        <f t="shared" si="13"/>
        <v>208</v>
      </c>
      <c r="AY78" s="2">
        <f t="shared" si="13"/>
        <v>102</v>
      </c>
      <c r="AZ78" s="2">
        <f t="shared" si="13"/>
        <v>66</v>
      </c>
      <c r="BA78" s="2">
        <f t="shared" si="13"/>
        <v>26</v>
      </c>
      <c r="BB78" s="2">
        <f t="shared" si="13"/>
        <v>19</v>
      </c>
      <c r="BC78" s="2">
        <f t="shared" si="13"/>
        <v>3</v>
      </c>
      <c r="BD78" s="2">
        <f t="shared" si="13"/>
        <v>0</v>
      </c>
    </row>
    <row r="79" spans="1:255" ht="16.5" customHeight="1">
      <c r="A79" s="4" t="s">
        <v>62</v>
      </c>
      <c r="B79" s="4">
        <v>2016</v>
      </c>
      <c r="C79" s="4">
        <v>870</v>
      </c>
      <c r="D79" s="5">
        <v>2</v>
      </c>
      <c r="E79" s="4">
        <v>3</v>
      </c>
      <c r="F79" s="4">
        <v>1</v>
      </c>
      <c r="G79" s="4">
        <v>0</v>
      </c>
      <c r="H79" s="4">
        <v>2</v>
      </c>
      <c r="I79" s="4">
        <v>1</v>
      </c>
      <c r="J79" s="4">
        <v>1</v>
      </c>
      <c r="K79" s="4">
        <v>3</v>
      </c>
      <c r="L79" s="4">
        <v>1</v>
      </c>
      <c r="M79" s="4">
        <v>0</v>
      </c>
      <c r="N79" s="4">
        <v>2</v>
      </c>
      <c r="O79" s="4">
        <v>1</v>
      </c>
      <c r="P79" s="4">
        <v>0</v>
      </c>
      <c r="Q79" s="4">
        <v>2</v>
      </c>
      <c r="R79" s="4">
        <v>0</v>
      </c>
      <c r="S79" s="4">
        <v>0</v>
      </c>
      <c r="T79" s="4">
        <v>0</v>
      </c>
      <c r="U79" s="4">
        <v>3</v>
      </c>
      <c r="V79" s="4">
        <v>0</v>
      </c>
      <c r="W79" s="4">
        <v>7</v>
      </c>
      <c r="X79" s="4">
        <v>4</v>
      </c>
      <c r="Y79" s="4">
        <v>1</v>
      </c>
      <c r="Z79" s="4">
        <v>0</v>
      </c>
      <c r="AA79" s="4">
        <v>0</v>
      </c>
      <c r="AB79" s="4">
        <v>2</v>
      </c>
      <c r="AC79" s="4">
        <v>2</v>
      </c>
      <c r="AD79" s="4">
        <v>1</v>
      </c>
      <c r="AE79" s="4">
        <v>0</v>
      </c>
      <c r="AF79" s="4">
        <v>1</v>
      </c>
      <c r="AG79" s="4">
        <v>0</v>
      </c>
      <c r="AH79" s="4">
        <v>1</v>
      </c>
      <c r="AI79" s="4">
        <v>0</v>
      </c>
      <c r="AJ79" s="4">
        <v>1</v>
      </c>
      <c r="AK79" s="4">
        <v>1</v>
      </c>
      <c r="AL79" s="4">
        <v>1</v>
      </c>
      <c r="AM79" s="4">
        <v>2</v>
      </c>
      <c r="AN79" s="4">
        <v>1</v>
      </c>
      <c r="AO79" s="4">
        <v>1</v>
      </c>
      <c r="AP79" s="4">
        <v>3</v>
      </c>
      <c r="AQ79" s="4">
        <v>3</v>
      </c>
      <c r="AR79" s="4">
        <v>2</v>
      </c>
      <c r="AS79" s="4">
        <v>6</v>
      </c>
      <c r="AT79" s="4">
        <v>23</v>
      </c>
      <c r="AU79" s="4">
        <v>60</v>
      </c>
      <c r="AV79" s="4">
        <v>144</v>
      </c>
      <c r="AW79" s="4">
        <v>190</v>
      </c>
      <c r="AX79" s="4">
        <v>154</v>
      </c>
      <c r="AY79" s="4">
        <v>106</v>
      </c>
      <c r="AZ79" s="4">
        <v>71</v>
      </c>
      <c r="BA79" s="4">
        <v>38</v>
      </c>
      <c r="BB79" s="4">
        <v>14</v>
      </c>
      <c r="BC79" s="4">
        <v>8</v>
      </c>
      <c r="BD79" s="4">
        <v>0</v>
      </c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  <c r="EM79" s="4"/>
      <c r="EN79" s="4"/>
      <c r="EO79" s="4"/>
      <c r="EP79" s="4"/>
      <c r="EQ79" s="4"/>
      <c r="ER79" s="4"/>
      <c r="ES79" s="4"/>
      <c r="ET79" s="4"/>
      <c r="EU79" s="4"/>
      <c r="EV79" s="4"/>
      <c r="EW79" s="4"/>
      <c r="EX79" s="4"/>
      <c r="EY79" s="4"/>
      <c r="EZ79" s="4"/>
      <c r="FA79" s="4"/>
      <c r="FB79" s="4"/>
      <c r="FC79" s="4"/>
      <c r="FD79" s="4"/>
      <c r="FE79" s="4"/>
      <c r="FF79" s="4"/>
      <c r="FG79" s="4"/>
      <c r="FH79" s="4"/>
      <c r="FI79" s="4"/>
      <c r="FJ79" s="4"/>
      <c r="FK79" s="4"/>
      <c r="FL79" s="4"/>
      <c r="FM79" s="4"/>
      <c r="FN79" s="4"/>
      <c r="FO79" s="4"/>
      <c r="FP79" s="4"/>
      <c r="FQ79" s="4"/>
      <c r="FR79" s="4"/>
      <c r="FS79" s="4"/>
      <c r="FT79" s="4"/>
      <c r="FU79" s="4"/>
      <c r="FV79" s="4"/>
      <c r="FW79" s="4"/>
      <c r="FX79" s="4"/>
      <c r="FY79" s="4"/>
      <c r="FZ79" s="4"/>
      <c r="GA79" s="4"/>
      <c r="GB79" s="4"/>
      <c r="GC79" s="4"/>
      <c r="GD79" s="4"/>
      <c r="GE79" s="4"/>
      <c r="GF79" s="4"/>
      <c r="GG79" s="4"/>
      <c r="GH79" s="4"/>
      <c r="GI79" s="4"/>
      <c r="GJ79" s="4"/>
      <c r="GK79" s="4"/>
      <c r="GL79" s="4"/>
      <c r="GM79" s="4"/>
      <c r="GN79" s="4"/>
      <c r="GO79" s="4"/>
      <c r="GP79" s="4"/>
      <c r="GQ79" s="4"/>
      <c r="GR79" s="4"/>
      <c r="GS79" s="4"/>
      <c r="GT79" s="4"/>
      <c r="GU79" s="4"/>
      <c r="GV79" s="4"/>
      <c r="GW79" s="4"/>
      <c r="GX79" s="4"/>
      <c r="GY79" s="4"/>
      <c r="GZ79" s="4"/>
      <c r="HA79" s="4"/>
      <c r="HB79" s="4"/>
      <c r="HC79" s="4"/>
      <c r="HD79" s="4"/>
      <c r="HE79" s="4"/>
      <c r="HF79" s="4"/>
      <c r="HG79" s="4"/>
      <c r="HH79" s="4"/>
      <c r="HI79" s="4"/>
      <c r="HJ79" s="4"/>
      <c r="HK79" s="4"/>
      <c r="HL79" s="4"/>
      <c r="HM79" s="4"/>
      <c r="HN79" s="4"/>
      <c r="HO79" s="4"/>
      <c r="HP79" s="4"/>
      <c r="HQ79" s="4"/>
      <c r="HR79" s="4"/>
      <c r="HS79" s="4"/>
      <c r="HT79" s="4"/>
      <c r="HU79" s="4"/>
      <c r="HV79" s="4"/>
      <c r="HW79" s="4"/>
      <c r="HX79" s="4"/>
      <c r="HY79" s="4"/>
      <c r="HZ79" s="4"/>
      <c r="IA79" s="4"/>
      <c r="IB79" s="4"/>
      <c r="IC79" s="4"/>
      <c r="ID79" s="4"/>
      <c r="IE79" s="4"/>
      <c r="IF79" s="4"/>
      <c r="IG79" s="4"/>
      <c r="IH79" s="4"/>
      <c r="II79" s="4"/>
      <c r="IJ79" s="4"/>
      <c r="IK79" s="4"/>
      <c r="IL79" s="4"/>
      <c r="IM79" s="4"/>
      <c r="IN79" s="4"/>
      <c r="IO79" s="4"/>
      <c r="IP79" s="4"/>
      <c r="IQ79" s="4"/>
      <c r="IR79" s="4"/>
      <c r="IS79" s="4"/>
      <c r="IT79" s="4"/>
      <c r="IU79" s="4"/>
    </row>
    <row r="80" spans="1:255" ht="16.5" customHeight="1">
      <c r="A80" s="1" t="s">
        <v>62</v>
      </c>
      <c r="B80" s="1">
        <v>2017</v>
      </c>
      <c r="C80" s="1">
        <v>769</v>
      </c>
      <c r="D80" s="1">
        <v>0</v>
      </c>
      <c r="E80" s="1">
        <v>1</v>
      </c>
      <c r="F80" s="1">
        <v>3</v>
      </c>
      <c r="G80" s="1">
        <v>0</v>
      </c>
      <c r="H80" s="1">
        <v>1</v>
      </c>
      <c r="I80" s="1">
        <v>0</v>
      </c>
      <c r="J80" s="1">
        <v>1</v>
      </c>
      <c r="K80" s="1">
        <v>1</v>
      </c>
      <c r="L80" s="1">
        <v>0</v>
      </c>
      <c r="M80" s="1">
        <v>0</v>
      </c>
      <c r="N80" s="1">
        <v>0</v>
      </c>
      <c r="O80" s="1">
        <v>0</v>
      </c>
      <c r="P80" s="1">
        <v>2</v>
      </c>
      <c r="Q80" s="1">
        <v>0</v>
      </c>
      <c r="R80" s="1">
        <v>0</v>
      </c>
      <c r="S80" s="1">
        <v>1</v>
      </c>
      <c r="T80" s="1">
        <v>1</v>
      </c>
      <c r="U80" s="1">
        <v>0</v>
      </c>
      <c r="V80" s="1">
        <v>1</v>
      </c>
      <c r="W80" s="1">
        <v>2</v>
      </c>
      <c r="X80" s="1">
        <v>0</v>
      </c>
      <c r="Y80" s="1">
        <v>3</v>
      </c>
      <c r="Z80" s="1">
        <v>0</v>
      </c>
      <c r="AA80" s="1">
        <v>2</v>
      </c>
      <c r="AB80" s="1">
        <v>1</v>
      </c>
      <c r="AC80" s="1">
        <v>5</v>
      </c>
      <c r="AD80" s="1">
        <v>0</v>
      </c>
      <c r="AE80" s="1">
        <v>0</v>
      </c>
      <c r="AF80" s="1">
        <v>1</v>
      </c>
      <c r="AG80" s="1">
        <v>0</v>
      </c>
      <c r="AH80" s="1">
        <v>1</v>
      </c>
      <c r="AI80" s="1">
        <v>1</v>
      </c>
      <c r="AJ80" s="1">
        <v>1</v>
      </c>
      <c r="AK80" s="1">
        <v>1</v>
      </c>
      <c r="AL80" s="1">
        <v>0</v>
      </c>
      <c r="AM80" s="1">
        <v>2</v>
      </c>
      <c r="AN80" s="1">
        <v>4</v>
      </c>
      <c r="AO80" s="1">
        <v>2</v>
      </c>
      <c r="AP80" s="1">
        <v>2</v>
      </c>
      <c r="AQ80" s="1">
        <v>1</v>
      </c>
      <c r="AR80" s="1">
        <v>14</v>
      </c>
      <c r="AS80" s="1">
        <v>41</v>
      </c>
      <c r="AT80" s="1">
        <v>67</v>
      </c>
      <c r="AU80" s="1">
        <v>102</v>
      </c>
      <c r="AV80" s="1">
        <v>136</v>
      </c>
      <c r="AW80" s="1">
        <v>200</v>
      </c>
      <c r="AX80" s="1">
        <v>88</v>
      </c>
      <c r="AY80" s="1">
        <v>49</v>
      </c>
      <c r="AZ80" s="1">
        <v>17</v>
      </c>
      <c r="BA80" s="1">
        <v>4</v>
      </c>
      <c r="BB80" s="1">
        <v>6</v>
      </c>
      <c r="BC80" s="1">
        <v>4</v>
      </c>
    </row>
    <row r="81" spans="1:255" ht="16.5" customHeight="1">
      <c r="A81" s="1" t="s">
        <v>62</v>
      </c>
      <c r="B81" s="1">
        <v>2018</v>
      </c>
      <c r="C81" s="1">
        <v>357</v>
      </c>
      <c r="D81" s="1">
        <v>0</v>
      </c>
      <c r="E81" s="1">
        <v>0</v>
      </c>
      <c r="F81" s="1">
        <v>1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1</v>
      </c>
      <c r="M81" s="1">
        <v>1</v>
      </c>
      <c r="N81" s="1">
        <v>0</v>
      </c>
      <c r="O81" s="1">
        <v>1</v>
      </c>
      <c r="P81" s="1">
        <v>0</v>
      </c>
      <c r="Q81" s="1">
        <v>1</v>
      </c>
      <c r="R81" s="1">
        <v>1</v>
      </c>
      <c r="S81" s="1">
        <v>1</v>
      </c>
      <c r="T81" s="1">
        <v>1</v>
      </c>
      <c r="U81" s="1">
        <v>3</v>
      </c>
      <c r="V81" s="1">
        <v>2</v>
      </c>
      <c r="W81" s="1">
        <v>3</v>
      </c>
      <c r="X81" s="1">
        <v>0</v>
      </c>
      <c r="Y81" s="1">
        <v>2</v>
      </c>
      <c r="Z81" s="1">
        <v>1</v>
      </c>
      <c r="AA81" s="1">
        <v>3</v>
      </c>
      <c r="AB81" s="1">
        <v>0</v>
      </c>
      <c r="AC81" s="1">
        <v>1</v>
      </c>
      <c r="AD81" s="1">
        <v>3</v>
      </c>
      <c r="AE81" s="1">
        <v>5</v>
      </c>
      <c r="AF81" s="1">
        <v>1</v>
      </c>
      <c r="AG81" s="1">
        <v>1</v>
      </c>
      <c r="AH81" s="1">
        <v>0</v>
      </c>
      <c r="AI81" s="1">
        <v>1</v>
      </c>
      <c r="AJ81" s="1">
        <v>2</v>
      </c>
      <c r="AK81" s="1">
        <v>2</v>
      </c>
      <c r="AL81" s="1">
        <v>0</v>
      </c>
      <c r="AM81" s="1">
        <v>0</v>
      </c>
      <c r="AN81" s="1">
        <v>1</v>
      </c>
      <c r="AO81" s="1">
        <v>4</v>
      </c>
      <c r="AP81" s="1">
        <v>2</v>
      </c>
      <c r="AQ81" s="1">
        <v>0</v>
      </c>
      <c r="AR81" s="1">
        <v>3</v>
      </c>
      <c r="AS81" s="1">
        <v>10</v>
      </c>
      <c r="AT81" s="1">
        <v>22</v>
      </c>
      <c r="AU81" s="1">
        <v>43</v>
      </c>
      <c r="AV81" s="1">
        <v>79</v>
      </c>
      <c r="AW81" s="1">
        <v>64</v>
      </c>
      <c r="AX81" s="1">
        <v>40</v>
      </c>
      <c r="AY81" s="1">
        <v>25</v>
      </c>
      <c r="AZ81" s="1">
        <v>17</v>
      </c>
      <c r="BA81" s="1">
        <v>5</v>
      </c>
      <c r="BB81" s="1">
        <v>2</v>
      </c>
      <c r="BC81" s="1">
        <v>2</v>
      </c>
    </row>
    <row r="82" spans="1:255" ht="16.5" customHeight="1">
      <c r="A82" s="1" t="s">
        <v>62</v>
      </c>
      <c r="B82" s="1">
        <v>2019</v>
      </c>
      <c r="C82" s="1">
        <v>278</v>
      </c>
      <c r="D82" s="1">
        <v>1</v>
      </c>
      <c r="E82" s="1">
        <v>0</v>
      </c>
      <c r="F82" s="1">
        <v>1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2</v>
      </c>
      <c r="U82" s="1">
        <v>0</v>
      </c>
      <c r="V82" s="1">
        <v>0</v>
      </c>
      <c r="W82" s="1">
        <v>1</v>
      </c>
      <c r="X82" s="1">
        <v>2</v>
      </c>
      <c r="Y82" s="1">
        <v>1</v>
      </c>
      <c r="Z82" s="1">
        <v>1</v>
      </c>
      <c r="AA82" s="1">
        <v>0</v>
      </c>
      <c r="AB82" s="1">
        <v>1</v>
      </c>
      <c r="AC82" s="1">
        <v>2</v>
      </c>
      <c r="AD82" s="1">
        <v>0</v>
      </c>
      <c r="AE82" s="1">
        <v>3</v>
      </c>
      <c r="AF82" s="1">
        <v>0</v>
      </c>
      <c r="AG82" s="1">
        <v>0</v>
      </c>
      <c r="AH82" s="1">
        <v>0</v>
      </c>
      <c r="AI82" s="1">
        <v>1</v>
      </c>
      <c r="AJ82" s="1">
        <v>0</v>
      </c>
      <c r="AK82" s="1">
        <v>2</v>
      </c>
      <c r="AL82" s="1">
        <v>0</v>
      </c>
      <c r="AM82" s="1">
        <v>4</v>
      </c>
      <c r="AN82" s="1">
        <v>3</v>
      </c>
      <c r="AO82" s="1">
        <v>2</v>
      </c>
      <c r="AP82" s="1">
        <v>0</v>
      </c>
      <c r="AQ82" s="1">
        <v>4</v>
      </c>
      <c r="AR82" s="1">
        <v>1</v>
      </c>
      <c r="AS82" s="1">
        <v>4</v>
      </c>
      <c r="AT82" s="1">
        <v>7</v>
      </c>
      <c r="AU82" s="1">
        <v>8</v>
      </c>
      <c r="AV82" s="1">
        <v>48</v>
      </c>
      <c r="AW82" s="1">
        <v>61</v>
      </c>
      <c r="AX82" s="1">
        <v>39</v>
      </c>
      <c r="AY82" s="1">
        <v>36</v>
      </c>
      <c r="AZ82" s="1">
        <v>22</v>
      </c>
      <c r="BA82" s="1">
        <v>13</v>
      </c>
      <c r="BB82" s="1">
        <v>8</v>
      </c>
      <c r="BC82" s="1">
        <v>0</v>
      </c>
    </row>
    <row r="83" spans="1:255" ht="16.5" customHeight="1">
      <c r="A83" s="1" t="s">
        <v>62</v>
      </c>
      <c r="B83" s="1">
        <v>2020</v>
      </c>
      <c r="C83" s="1">
        <v>412</v>
      </c>
      <c r="D83" s="1">
        <v>1</v>
      </c>
      <c r="E83" s="1">
        <v>3</v>
      </c>
      <c r="F83" s="1">
        <v>0</v>
      </c>
      <c r="G83" s="1">
        <v>2</v>
      </c>
      <c r="H83" s="1">
        <v>1</v>
      </c>
      <c r="I83" s="1">
        <v>1</v>
      </c>
      <c r="J83" s="1">
        <v>1</v>
      </c>
      <c r="K83" s="1">
        <v>1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1</v>
      </c>
      <c r="R83" s="1">
        <v>0</v>
      </c>
      <c r="S83" s="1">
        <v>1</v>
      </c>
      <c r="T83" s="1">
        <v>1</v>
      </c>
      <c r="U83" s="1">
        <v>0</v>
      </c>
      <c r="V83" s="1">
        <v>2</v>
      </c>
      <c r="W83" s="1">
        <v>2</v>
      </c>
      <c r="X83" s="1">
        <v>0</v>
      </c>
      <c r="Y83" s="1">
        <v>1</v>
      </c>
      <c r="Z83" s="1">
        <v>1</v>
      </c>
      <c r="AA83" s="1">
        <v>0</v>
      </c>
      <c r="AB83" s="1">
        <v>0</v>
      </c>
      <c r="AC83" s="1">
        <v>0</v>
      </c>
      <c r="AD83" s="1">
        <v>2</v>
      </c>
      <c r="AE83" s="1">
        <v>0</v>
      </c>
      <c r="AF83" s="1">
        <v>0</v>
      </c>
      <c r="AG83" s="1">
        <v>0</v>
      </c>
      <c r="AH83" s="1">
        <v>1</v>
      </c>
      <c r="AI83" s="1">
        <v>0</v>
      </c>
      <c r="AJ83" s="1">
        <v>0</v>
      </c>
      <c r="AK83" s="1">
        <v>0</v>
      </c>
      <c r="AL83" s="1">
        <v>1</v>
      </c>
      <c r="AM83" s="1">
        <v>1</v>
      </c>
      <c r="AN83" s="1">
        <v>0</v>
      </c>
      <c r="AO83" s="1">
        <v>3</v>
      </c>
      <c r="AP83" s="1">
        <v>2</v>
      </c>
      <c r="AQ83" s="1">
        <v>1</v>
      </c>
      <c r="AR83" s="1">
        <v>2</v>
      </c>
      <c r="AS83" s="1">
        <v>5</v>
      </c>
      <c r="AT83" s="1">
        <v>14</v>
      </c>
      <c r="AU83" s="1">
        <v>35</v>
      </c>
      <c r="AV83" s="1">
        <v>41</v>
      </c>
      <c r="AW83" s="1">
        <v>63</v>
      </c>
      <c r="AX83" s="1">
        <v>75</v>
      </c>
      <c r="AY83" s="1">
        <v>84</v>
      </c>
      <c r="AZ83" s="1">
        <v>33</v>
      </c>
      <c r="BA83" s="1">
        <v>15</v>
      </c>
      <c r="BB83" s="1">
        <v>8</v>
      </c>
      <c r="BC83" s="1">
        <v>7</v>
      </c>
    </row>
    <row r="84" spans="1:255" ht="16.5" customHeight="1">
      <c r="A84" s="1" t="s">
        <v>62</v>
      </c>
      <c r="B84" s="1">
        <v>2021</v>
      </c>
      <c r="C84" s="1">
        <v>419</v>
      </c>
      <c r="D84" s="1">
        <v>2</v>
      </c>
      <c r="E84" s="1">
        <v>2</v>
      </c>
      <c r="F84" s="1">
        <v>0</v>
      </c>
      <c r="G84" s="1">
        <v>2</v>
      </c>
      <c r="H84" s="1">
        <v>2</v>
      </c>
      <c r="I84" s="1">
        <v>0</v>
      </c>
      <c r="J84" s="1">
        <v>0</v>
      </c>
      <c r="K84" s="1">
        <v>2</v>
      </c>
      <c r="L84" s="1">
        <v>1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2</v>
      </c>
      <c r="S84" s="1">
        <v>0</v>
      </c>
      <c r="T84" s="1">
        <v>1</v>
      </c>
      <c r="U84" s="1">
        <v>2</v>
      </c>
      <c r="V84" s="1">
        <v>1</v>
      </c>
      <c r="W84" s="1">
        <v>0</v>
      </c>
      <c r="X84" s="1">
        <v>0</v>
      </c>
      <c r="Y84" s="1">
        <v>1</v>
      </c>
      <c r="Z84" s="1">
        <v>0</v>
      </c>
      <c r="AA84" s="1">
        <v>0</v>
      </c>
      <c r="AB84" s="1">
        <v>1</v>
      </c>
      <c r="AC84" s="1">
        <v>2</v>
      </c>
      <c r="AD84" s="1">
        <v>0</v>
      </c>
      <c r="AE84" s="1">
        <v>2</v>
      </c>
      <c r="AF84" s="1">
        <v>1</v>
      </c>
      <c r="AG84" s="1">
        <v>0</v>
      </c>
      <c r="AH84" s="1">
        <v>1</v>
      </c>
      <c r="AI84" s="1">
        <v>1</v>
      </c>
      <c r="AJ84" s="1">
        <v>1</v>
      </c>
      <c r="AK84" s="1">
        <v>0</v>
      </c>
      <c r="AL84" s="1">
        <v>2</v>
      </c>
      <c r="AM84" s="1">
        <v>3</v>
      </c>
      <c r="AN84" s="1">
        <v>1</v>
      </c>
      <c r="AO84" s="1">
        <v>3</v>
      </c>
      <c r="AP84" s="1">
        <v>1</v>
      </c>
      <c r="AQ84" s="1">
        <v>3</v>
      </c>
      <c r="AR84" s="1">
        <v>5</v>
      </c>
      <c r="AS84" s="1">
        <v>8</v>
      </c>
      <c r="AT84" s="1">
        <v>18</v>
      </c>
      <c r="AU84" s="1">
        <v>26</v>
      </c>
      <c r="AV84" s="1">
        <v>27</v>
      </c>
      <c r="AW84" s="1">
        <v>62</v>
      </c>
      <c r="AX84" s="1">
        <v>107</v>
      </c>
      <c r="AY84" s="1">
        <v>74</v>
      </c>
      <c r="AZ84" s="1">
        <v>30</v>
      </c>
      <c r="BA84" s="1">
        <v>14</v>
      </c>
      <c r="BB84" s="1">
        <v>6</v>
      </c>
      <c r="BC84" s="1">
        <v>2</v>
      </c>
    </row>
    <row r="85" spans="1:255" ht="16.5" customHeight="1">
      <c r="A85" s="3" t="s">
        <v>62</v>
      </c>
      <c r="B85" s="3">
        <v>2022</v>
      </c>
      <c r="C85" s="3">
        <v>420</v>
      </c>
      <c r="D85" s="3">
        <v>4</v>
      </c>
      <c r="E85" s="3">
        <v>0</v>
      </c>
      <c r="F85" s="3">
        <v>2</v>
      </c>
      <c r="G85" s="3">
        <v>0</v>
      </c>
      <c r="H85" s="3">
        <v>2</v>
      </c>
      <c r="I85" s="3">
        <v>0</v>
      </c>
      <c r="J85" s="3">
        <v>0</v>
      </c>
      <c r="K85" s="3">
        <v>1</v>
      </c>
      <c r="L85" s="3">
        <v>1</v>
      </c>
      <c r="M85" s="3">
        <v>0</v>
      </c>
      <c r="N85" s="3">
        <v>1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1</v>
      </c>
      <c r="U85" s="3">
        <v>0</v>
      </c>
      <c r="V85" s="3">
        <v>0</v>
      </c>
      <c r="W85" s="3">
        <v>0</v>
      </c>
      <c r="X85" s="3">
        <v>2</v>
      </c>
      <c r="Y85" s="3">
        <v>0</v>
      </c>
      <c r="Z85" s="3">
        <v>0</v>
      </c>
      <c r="AA85" s="3">
        <v>1</v>
      </c>
      <c r="AB85" s="3">
        <v>1</v>
      </c>
      <c r="AC85" s="3">
        <v>0</v>
      </c>
      <c r="AD85" s="3">
        <v>0</v>
      </c>
      <c r="AE85" s="3">
        <v>0</v>
      </c>
      <c r="AF85" s="3">
        <v>1</v>
      </c>
      <c r="AG85" s="3">
        <v>0</v>
      </c>
      <c r="AH85" s="3">
        <v>1</v>
      </c>
      <c r="AI85" s="3">
        <v>1</v>
      </c>
      <c r="AJ85" s="3">
        <v>0</v>
      </c>
      <c r="AK85" s="3">
        <v>0</v>
      </c>
      <c r="AL85" s="3">
        <v>0</v>
      </c>
      <c r="AM85" s="3">
        <v>1</v>
      </c>
      <c r="AN85" s="3">
        <v>1</v>
      </c>
      <c r="AO85" s="3">
        <v>1</v>
      </c>
      <c r="AP85" s="3">
        <v>2</v>
      </c>
      <c r="AQ85" s="3">
        <v>1</v>
      </c>
      <c r="AR85" s="3">
        <v>3</v>
      </c>
      <c r="AS85" s="3">
        <v>8</v>
      </c>
      <c r="AT85" s="3">
        <v>20</v>
      </c>
      <c r="AU85" s="3">
        <v>42</v>
      </c>
      <c r="AV85" s="3">
        <v>94</v>
      </c>
      <c r="AW85" s="3">
        <v>100</v>
      </c>
      <c r="AX85" s="3">
        <v>66</v>
      </c>
      <c r="AY85" s="3">
        <v>29</v>
      </c>
      <c r="AZ85" s="3">
        <v>13</v>
      </c>
      <c r="BA85" s="3">
        <v>8</v>
      </c>
      <c r="BB85" s="3">
        <v>10</v>
      </c>
      <c r="BC85" s="3">
        <v>2</v>
      </c>
    </row>
    <row r="86" spans="1:255" ht="16.5" customHeight="1">
      <c r="A86" s="1" t="s">
        <v>62</v>
      </c>
      <c r="B86" s="1">
        <v>2023</v>
      </c>
      <c r="C86" s="1">
        <v>268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1</v>
      </c>
      <c r="K86" s="1">
        <v>0</v>
      </c>
      <c r="L86" s="1">
        <v>0</v>
      </c>
      <c r="M86" s="1">
        <v>1</v>
      </c>
      <c r="N86" s="1">
        <v>0</v>
      </c>
      <c r="O86" s="1">
        <v>1</v>
      </c>
      <c r="P86" s="1">
        <v>1</v>
      </c>
      <c r="Q86" s="1">
        <v>0</v>
      </c>
      <c r="R86" s="1">
        <v>2</v>
      </c>
      <c r="S86" s="1">
        <v>1</v>
      </c>
      <c r="T86" s="1">
        <v>0</v>
      </c>
      <c r="U86" s="1">
        <v>0</v>
      </c>
      <c r="V86" s="1">
        <v>1</v>
      </c>
      <c r="W86" s="1">
        <v>0</v>
      </c>
      <c r="X86" s="1">
        <v>0</v>
      </c>
      <c r="Y86" s="1">
        <v>0</v>
      </c>
      <c r="Z86" s="1">
        <v>1</v>
      </c>
      <c r="AA86" s="1">
        <v>1</v>
      </c>
      <c r="AB86" s="1">
        <v>1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2</v>
      </c>
      <c r="AK86" s="1">
        <v>1</v>
      </c>
      <c r="AL86" s="1">
        <v>1</v>
      </c>
      <c r="AM86" s="1">
        <v>3</v>
      </c>
      <c r="AN86" s="1">
        <v>0</v>
      </c>
      <c r="AO86" s="1">
        <v>0</v>
      </c>
      <c r="AP86" s="1">
        <v>1</v>
      </c>
      <c r="AQ86" s="1">
        <v>3</v>
      </c>
      <c r="AR86" s="1">
        <v>2</v>
      </c>
      <c r="AS86" s="1">
        <v>3</v>
      </c>
      <c r="AT86" s="1">
        <v>18</v>
      </c>
      <c r="AU86" s="1">
        <v>32</v>
      </c>
      <c r="AV86" s="1">
        <v>47</v>
      </c>
      <c r="AW86" s="1">
        <v>60</v>
      </c>
      <c r="AX86" s="1">
        <v>38</v>
      </c>
      <c r="AY86" s="1">
        <v>31</v>
      </c>
      <c r="AZ86" s="1">
        <v>6</v>
      </c>
      <c r="BA86" s="1">
        <v>5</v>
      </c>
      <c r="BB86" s="1">
        <v>1</v>
      </c>
      <c r="BC86" s="1">
        <v>3</v>
      </c>
    </row>
    <row r="87" spans="1:255" ht="16.5" customHeight="1">
      <c r="A87" s="1" t="s">
        <v>62</v>
      </c>
      <c r="B87" s="1">
        <v>2024</v>
      </c>
      <c r="C87" s="1">
        <v>432</v>
      </c>
      <c r="D87" s="1">
        <v>0</v>
      </c>
      <c r="E87" s="1">
        <v>0</v>
      </c>
      <c r="F87" s="1">
        <v>3</v>
      </c>
      <c r="G87" s="1">
        <v>1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1</v>
      </c>
      <c r="N87" s="1">
        <v>0</v>
      </c>
      <c r="O87" s="1">
        <v>1</v>
      </c>
      <c r="P87" s="1">
        <v>0</v>
      </c>
      <c r="Q87" s="1">
        <v>1</v>
      </c>
      <c r="R87" s="1">
        <v>0</v>
      </c>
      <c r="S87" s="1">
        <v>0</v>
      </c>
      <c r="T87" s="1">
        <v>1</v>
      </c>
      <c r="U87" s="1">
        <v>0</v>
      </c>
      <c r="V87" s="1">
        <v>0</v>
      </c>
      <c r="W87" s="1">
        <v>0</v>
      </c>
      <c r="X87" s="1">
        <v>0</v>
      </c>
      <c r="Y87" s="1">
        <v>2</v>
      </c>
      <c r="Z87" s="1">
        <v>0</v>
      </c>
      <c r="AA87" s="1">
        <v>1</v>
      </c>
      <c r="AB87" s="1">
        <v>2</v>
      </c>
      <c r="AC87" s="1">
        <v>2</v>
      </c>
      <c r="AD87" s="1">
        <v>0</v>
      </c>
      <c r="AE87" s="1">
        <v>0</v>
      </c>
      <c r="AF87" s="1">
        <v>1</v>
      </c>
      <c r="AG87" s="1">
        <v>0</v>
      </c>
      <c r="AH87" s="1">
        <v>0</v>
      </c>
      <c r="AI87" s="1">
        <v>0</v>
      </c>
      <c r="AJ87" s="1">
        <v>3</v>
      </c>
      <c r="AK87" s="1">
        <v>0</v>
      </c>
      <c r="AL87" s="1">
        <v>2</v>
      </c>
      <c r="AM87" s="1">
        <v>0</v>
      </c>
      <c r="AN87" s="1">
        <v>0</v>
      </c>
      <c r="AO87" s="1">
        <v>0</v>
      </c>
      <c r="AP87" s="1">
        <v>2</v>
      </c>
      <c r="AQ87" s="1">
        <v>0</v>
      </c>
      <c r="AR87" s="1">
        <v>1</v>
      </c>
      <c r="AS87" s="1">
        <v>3</v>
      </c>
      <c r="AT87" s="1">
        <v>15</v>
      </c>
      <c r="AU87" s="1">
        <v>36</v>
      </c>
      <c r="AV87" s="1">
        <v>44</v>
      </c>
      <c r="AW87" s="1">
        <v>45</v>
      </c>
      <c r="AX87" s="1">
        <v>38</v>
      </c>
      <c r="AY87" s="1">
        <v>75</v>
      </c>
      <c r="AZ87" s="1">
        <v>101</v>
      </c>
      <c r="BA87" s="1">
        <v>38</v>
      </c>
      <c r="BB87" s="1">
        <v>8</v>
      </c>
      <c r="BC87" s="1">
        <v>5</v>
      </c>
    </row>
    <row r="88" spans="1:255" ht="16.5" customHeight="1">
      <c r="A88" s="1" t="s">
        <v>62</v>
      </c>
      <c r="B88" s="1">
        <v>2025</v>
      </c>
      <c r="C88" s="1">
        <v>188</v>
      </c>
      <c r="D88" s="1">
        <v>1</v>
      </c>
      <c r="E88" s="1">
        <v>0</v>
      </c>
      <c r="F88" s="1">
        <v>0</v>
      </c>
      <c r="G88" s="1">
        <v>1</v>
      </c>
      <c r="H88" s="1">
        <v>0</v>
      </c>
      <c r="I88" s="1">
        <v>0</v>
      </c>
      <c r="J88" s="1">
        <v>0</v>
      </c>
      <c r="K88" s="1">
        <v>1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2</v>
      </c>
      <c r="AD88" s="1">
        <v>0</v>
      </c>
      <c r="AE88" s="1">
        <v>1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2</v>
      </c>
      <c r="AT88" s="1">
        <v>2</v>
      </c>
      <c r="AU88" s="1">
        <v>11</v>
      </c>
      <c r="AV88" s="1">
        <v>14</v>
      </c>
      <c r="AW88" s="1">
        <v>24</v>
      </c>
      <c r="AX88" s="1">
        <v>36</v>
      </c>
      <c r="AY88" s="1">
        <v>41</v>
      </c>
      <c r="AZ88" s="1">
        <v>36</v>
      </c>
      <c r="BA88" s="1">
        <v>10</v>
      </c>
      <c r="BB88" s="1">
        <v>5</v>
      </c>
      <c r="BC88" s="1">
        <v>1</v>
      </c>
    </row>
    <row r="89" spans="1:255" ht="16.5" customHeight="1">
      <c r="A89" s="2" t="s">
        <v>2</v>
      </c>
      <c r="B89" s="2"/>
      <c r="C89" s="2">
        <f t="shared" ref="C89:AH89" si="14">SUM(C79:C88)</f>
        <v>4413</v>
      </c>
      <c r="D89" s="2">
        <f t="shared" si="14"/>
        <v>11</v>
      </c>
      <c r="E89" s="2">
        <f t="shared" si="14"/>
        <v>9</v>
      </c>
      <c r="F89" s="2">
        <f t="shared" si="14"/>
        <v>11</v>
      </c>
      <c r="G89" s="2">
        <f t="shared" si="14"/>
        <v>6</v>
      </c>
      <c r="H89" s="2">
        <f t="shared" si="14"/>
        <v>8</v>
      </c>
      <c r="I89" s="2">
        <f t="shared" si="14"/>
        <v>2</v>
      </c>
      <c r="J89" s="2">
        <f t="shared" si="14"/>
        <v>4</v>
      </c>
      <c r="K89" s="2">
        <f t="shared" si="14"/>
        <v>9</v>
      </c>
      <c r="L89" s="2">
        <f t="shared" si="14"/>
        <v>4</v>
      </c>
      <c r="M89" s="2">
        <f t="shared" si="14"/>
        <v>3</v>
      </c>
      <c r="N89" s="2">
        <f t="shared" si="14"/>
        <v>3</v>
      </c>
      <c r="O89" s="2">
        <f t="shared" si="14"/>
        <v>4</v>
      </c>
      <c r="P89" s="2">
        <f t="shared" si="14"/>
        <v>3</v>
      </c>
      <c r="Q89" s="2">
        <f t="shared" si="14"/>
        <v>5</v>
      </c>
      <c r="R89" s="2">
        <f t="shared" si="14"/>
        <v>5</v>
      </c>
      <c r="S89" s="2">
        <f t="shared" si="14"/>
        <v>4</v>
      </c>
      <c r="T89" s="2">
        <f t="shared" si="14"/>
        <v>8</v>
      </c>
      <c r="U89" s="2">
        <f t="shared" si="14"/>
        <v>8</v>
      </c>
      <c r="V89" s="2">
        <f t="shared" si="14"/>
        <v>7</v>
      </c>
      <c r="W89" s="2">
        <f t="shared" si="14"/>
        <v>15</v>
      </c>
      <c r="X89" s="2">
        <f t="shared" si="14"/>
        <v>8</v>
      </c>
      <c r="Y89" s="2">
        <f t="shared" si="14"/>
        <v>11</v>
      </c>
      <c r="Z89" s="2">
        <f t="shared" si="14"/>
        <v>4</v>
      </c>
      <c r="AA89" s="2">
        <f t="shared" si="14"/>
        <v>8</v>
      </c>
      <c r="AB89" s="2">
        <f t="shared" si="14"/>
        <v>9</v>
      </c>
      <c r="AC89" s="2">
        <f t="shared" si="14"/>
        <v>16</v>
      </c>
      <c r="AD89" s="2">
        <f t="shared" si="14"/>
        <v>6</v>
      </c>
      <c r="AE89" s="2">
        <f t="shared" si="14"/>
        <v>11</v>
      </c>
      <c r="AF89" s="2">
        <f t="shared" si="14"/>
        <v>6</v>
      </c>
      <c r="AG89" s="2">
        <f t="shared" si="14"/>
        <v>1</v>
      </c>
      <c r="AH89" s="2">
        <f t="shared" si="14"/>
        <v>5</v>
      </c>
      <c r="AI89" s="2">
        <f t="shared" ref="AI89:BD89" si="15">SUM(AI79:AI88)</f>
        <v>5</v>
      </c>
      <c r="AJ89" s="2">
        <f t="shared" si="15"/>
        <v>10</v>
      </c>
      <c r="AK89" s="2">
        <f t="shared" si="15"/>
        <v>7</v>
      </c>
      <c r="AL89" s="2">
        <f t="shared" si="15"/>
        <v>7</v>
      </c>
      <c r="AM89" s="2">
        <f t="shared" si="15"/>
        <v>16</v>
      </c>
      <c r="AN89" s="2">
        <f t="shared" si="15"/>
        <v>11</v>
      </c>
      <c r="AO89" s="2">
        <f t="shared" si="15"/>
        <v>16</v>
      </c>
      <c r="AP89" s="2">
        <f t="shared" si="15"/>
        <v>15</v>
      </c>
      <c r="AQ89" s="2">
        <f t="shared" si="15"/>
        <v>16</v>
      </c>
      <c r="AR89" s="2">
        <f t="shared" si="15"/>
        <v>33</v>
      </c>
      <c r="AS89" s="2">
        <f t="shared" si="15"/>
        <v>90</v>
      </c>
      <c r="AT89" s="2">
        <f t="shared" si="15"/>
        <v>206</v>
      </c>
      <c r="AU89" s="2">
        <f t="shared" si="15"/>
        <v>395</v>
      </c>
      <c r="AV89" s="2">
        <f t="shared" si="15"/>
        <v>674</v>
      </c>
      <c r="AW89" s="2">
        <f t="shared" si="15"/>
        <v>869</v>
      </c>
      <c r="AX89" s="2">
        <f t="shared" si="15"/>
        <v>681</v>
      </c>
      <c r="AY89" s="2">
        <f t="shared" si="15"/>
        <v>550</v>
      </c>
      <c r="AZ89" s="2">
        <f t="shared" si="15"/>
        <v>346</v>
      </c>
      <c r="BA89" s="2">
        <f t="shared" si="15"/>
        <v>150</v>
      </c>
      <c r="BB89" s="2">
        <f t="shared" si="15"/>
        <v>68</v>
      </c>
      <c r="BC89" s="2">
        <f t="shared" si="15"/>
        <v>34</v>
      </c>
      <c r="BD89" s="2">
        <f t="shared" si="15"/>
        <v>0</v>
      </c>
    </row>
    <row r="90" spans="1:255" ht="16.5" customHeight="1">
      <c r="A90" s="4" t="s">
        <v>63</v>
      </c>
      <c r="B90" s="4">
        <v>2016</v>
      </c>
      <c r="C90" s="4">
        <v>353</v>
      </c>
      <c r="D90" s="5">
        <v>1</v>
      </c>
      <c r="E90" s="4">
        <v>0</v>
      </c>
      <c r="F90" s="4">
        <v>0</v>
      </c>
      <c r="G90" s="4">
        <v>0</v>
      </c>
      <c r="H90" s="4">
        <v>1</v>
      </c>
      <c r="I90" s="4">
        <v>1</v>
      </c>
      <c r="J90" s="4">
        <v>2</v>
      </c>
      <c r="K90" s="4">
        <v>0</v>
      </c>
      <c r="L90" s="4">
        <v>0</v>
      </c>
      <c r="M90" s="4">
        <v>1</v>
      </c>
      <c r="N90" s="4">
        <v>1</v>
      </c>
      <c r="O90" s="4">
        <v>1</v>
      </c>
      <c r="P90" s="4">
        <v>0</v>
      </c>
      <c r="Q90" s="4">
        <v>3</v>
      </c>
      <c r="R90" s="4">
        <v>1</v>
      </c>
      <c r="S90" s="4">
        <v>1</v>
      </c>
      <c r="T90" s="4">
        <v>5</v>
      </c>
      <c r="U90" s="4">
        <v>0</v>
      </c>
      <c r="V90" s="4">
        <v>1</v>
      </c>
      <c r="W90" s="4">
        <v>2</v>
      </c>
      <c r="X90" s="4">
        <v>1</v>
      </c>
      <c r="Y90" s="4">
        <v>4</v>
      </c>
      <c r="Z90" s="4">
        <v>7</v>
      </c>
      <c r="AA90" s="4">
        <v>2</v>
      </c>
      <c r="AB90" s="4">
        <v>4</v>
      </c>
      <c r="AC90" s="4">
        <v>5</v>
      </c>
      <c r="AD90" s="4">
        <v>4</v>
      </c>
      <c r="AE90" s="4">
        <v>2</v>
      </c>
      <c r="AF90" s="4">
        <v>1</v>
      </c>
      <c r="AG90" s="4">
        <v>2</v>
      </c>
      <c r="AH90" s="4">
        <v>2</v>
      </c>
      <c r="AI90" s="4">
        <v>1</v>
      </c>
      <c r="AJ90" s="4">
        <v>2</v>
      </c>
      <c r="AK90" s="4">
        <v>3</v>
      </c>
      <c r="AL90" s="4">
        <v>2</v>
      </c>
      <c r="AM90" s="4">
        <v>4</v>
      </c>
      <c r="AN90" s="4">
        <v>4</v>
      </c>
      <c r="AO90" s="4">
        <v>0</v>
      </c>
      <c r="AP90" s="4">
        <v>4</v>
      </c>
      <c r="AQ90" s="4">
        <v>4</v>
      </c>
      <c r="AR90" s="4">
        <v>3</v>
      </c>
      <c r="AS90" s="4">
        <v>7</v>
      </c>
      <c r="AT90" s="4">
        <v>12</v>
      </c>
      <c r="AU90" s="4">
        <v>22</v>
      </c>
      <c r="AV90" s="4">
        <v>46</v>
      </c>
      <c r="AW90" s="4">
        <v>79</v>
      </c>
      <c r="AX90" s="4">
        <v>52</v>
      </c>
      <c r="AY90" s="4">
        <v>21</v>
      </c>
      <c r="AZ90" s="4">
        <v>15</v>
      </c>
      <c r="BA90" s="4">
        <v>7</v>
      </c>
      <c r="BB90" s="4">
        <v>7</v>
      </c>
      <c r="BC90" s="4">
        <v>1</v>
      </c>
      <c r="BD90" s="4">
        <v>2</v>
      </c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  <c r="EM90" s="4"/>
      <c r="EN90" s="4"/>
      <c r="EO90" s="4"/>
      <c r="EP90" s="4"/>
      <c r="EQ90" s="4"/>
      <c r="ER90" s="4"/>
      <c r="ES90" s="4"/>
      <c r="ET90" s="4"/>
      <c r="EU90" s="4"/>
      <c r="EV90" s="4"/>
      <c r="EW90" s="4"/>
      <c r="EX90" s="4"/>
      <c r="EY90" s="4"/>
      <c r="EZ90" s="4"/>
      <c r="FA90" s="4"/>
      <c r="FB90" s="4"/>
      <c r="FC90" s="4"/>
      <c r="FD90" s="4"/>
      <c r="FE90" s="4"/>
      <c r="FF90" s="4"/>
      <c r="FG90" s="4"/>
      <c r="FH90" s="4"/>
      <c r="FI90" s="4"/>
      <c r="FJ90" s="4"/>
      <c r="FK90" s="4"/>
      <c r="FL90" s="4"/>
      <c r="FM90" s="4"/>
      <c r="FN90" s="4"/>
      <c r="FO90" s="4"/>
      <c r="FP90" s="4"/>
      <c r="FQ90" s="4"/>
      <c r="FR90" s="4"/>
      <c r="FS90" s="4"/>
      <c r="FT90" s="4"/>
      <c r="FU90" s="4"/>
      <c r="FV90" s="4"/>
      <c r="FW90" s="4"/>
      <c r="FX90" s="4"/>
      <c r="FY90" s="4"/>
      <c r="FZ90" s="4"/>
      <c r="GA90" s="4"/>
      <c r="GB90" s="4"/>
      <c r="GC90" s="4"/>
      <c r="GD90" s="4"/>
      <c r="GE90" s="4"/>
      <c r="GF90" s="4"/>
      <c r="GG90" s="4"/>
      <c r="GH90" s="4"/>
      <c r="GI90" s="4"/>
      <c r="GJ90" s="4"/>
      <c r="GK90" s="4"/>
      <c r="GL90" s="4"/>
      <c r="GM90" s="4"/>
      <c r="GN90" s="4"/>
      <c r="GO90" s="4"/>
      <c r="GP90" s="4"/>
      <c r="GQ90" s="4"/>
      <c r="GR90" s="4"/>
      <c r="GS90" s="4"/>
      <c r="GT90" s="4"/>
      <c r="GU90" s="4"/>
      <c r="GV90" s="4"/>
      <c r="GW90" s="4"/>
      <c r="GX90" s="4"/>
      <c r="GY90" s="4"/>
      <c r="GZ90" s="4"/>
      <c r="HA90" s="4"/>
      <c r="HB90" s="4"/>
      <c r="HC90" s="4"/>
      <c r="HD90" s="4"/>
      <c r="HE90" s="4"/>
      <c r="HF90" s="4"/>
      <c r="HG90" s="4"/>
      <c r="HH90" s="4"/>
      <c r="HI90" s="4"/>
      <c r="HJ90" s="4"/>
      <c r="HK90" s="4"/>
      <c r="HL90" s="4"/>
      <c r="HM90" s="4"/>
      <c r="HN90" s="4"/>
      <c r="HO90" s="4"/>
      <c r="HP90" s="4"/>
      <c r="HQ90" s="4"/>
      <c r="HR90" s="4"/>
      <c r="HS90" s="4"/>
      <c r="HT90" s="4"/>
      <c r="HU90" s="4"/>
      <c r="HV90" s="4"/>
      <c r="HW90" s="4"/>
      <c r="HX90" s="4"/>
      <c r="HY90" s="4"/>
      <c r="HZ90" s="4"/>
      <c r="IA90" s="4"/>
      <c r="IB90" s="4"/>
      <c r="IC90" s="4"/>
      <c r="ID90" s="4"/>
      <c r="IE90" s="4"/>
      <c r="IF90" s="4"/>
      <c r="IG90" s="4"/>
      <c r="IH90" s="4"/>
      <c r="II90" s="4"/>
      <c r="IJ90" s="4"/>
      <c r="IK90" s="4"/>
      <c r="IL90" s="4"/>
      <c r="IM90" s="4"/>
      <c r="IN90" s="4"/>
      <c r="IO90" s="4"/>
      <c r="IP90" s="4"/>
      <c r="IQ90" s="4"/>
      <c r="IR90" s="4"/>
      <c r="IS90" s="4"/>
      <c r="IT90" s="4"/>
      <c r="IU90" s="4"/>
    </row>
    <row r="91" spans="1:255" ht="16.5" customHeight="1">
      <c r="A91" s="1" t="s">
        <v>63</v>
      </c>
      <c r="B91" s="1">
        <v>2017</v>
      </c>
      <c r="C91" s="1">
        <v>307</v>
      </c>
      <c r="D91" s="1">
        <v>0</v>
      </c>
      <c r="E91" s="1">
        <v>0</v>
      </c>
      <c r="F91" s="1">
        <v>6</v>
      </c>
      <c r="G91" s="1">
        <v>1</v>
      </c>
      <c r="H91" s="1">
        <v>0</v>
      </c>
      <c r="I91" s="1">
        <v>0</v>
      </c>
      <c r="J91" s="1">
        <v>1</v>
      </c>
      <c r="K91" s="1">
        <v>0</v>
      </c>
      <c r="L91" s="1">
        <v>0</v>
      </c>
      <c r="M91" s="1">
        <v>0</v>
      </c>
      <c r="N91" s="1">
        <v>1</v>
      </c>
      <c r="O91" s="1">
        <v>0</v>
      </c>
      <c r="P91" s="1">
        <v>0</v>
      </c>
      <c r="Q91" s="1">
        <v>1</v>
      </c>
      <c r="R91" s="1">
        <v>1</v>
      </c>
      <c r="S91" s="1">
        <v>0</v>
      </c>
      <c r="T91" s="1">
        <v>1</v>
      </c>
      <c r="U91" s="1">
        <v>0</v>
      </c>
      <c r="V91" s="1">
        <v>2</v>
      </c>
      <c r="W91" s="1">
        <v>0</v>
      </c>
      <c r="X91" s="1">
        <v>3</v>
      </c>
      <c r="Y91" s="1">
        <v>2</v>
      </c>
      <c r="Z91" s="1">
        <v>0</v>
      </c>
      <c r="AA91" s="1">
        <v>0</v>
      </c>
      <c r="AB91" s="1">
        <v>1</v>
      </c>
      <c r="AC91" s="1">
        <v>2</v>
      </c>
      <c r="AD91" s="1">
        <v>0</v>
      </c>
      <c r="AE91" s="1">
        <v>0</v>
      </c>
      <c r="AF91" s="1">
        <v>1</v>
      </c>
      <c r="AG91" s="1">
        <v>1</v>
      </c>
      <c r="AH91" s="1">
        <v>2</v>
      </c>
      <c r="AI91" s="1">
        <v>0</v>
      </c>
      <c r="AJ91" s="1">
        <v>1</v>
      </c>
      <c r="AK91" s="1">
        <v>0</v>
      </c>
      <c r="AL91" s="1">
        <v>0</v>
      </c>
      <c r="AM91" s="1">
        <v>3</v>
      </c>
      <c r="AN91" s="1">
        <v>2</v>
      </c>
      <c r="AO91" s="1">
        <v>2</v>
      </c>
      <c r="AP91" s="1">
        <v>1</v>
      </c>
      <c r="AQ91" s="1">
        <v>4</v>
      </c>
      <c r="AR91" s="1">
        <v>14</v>
      </c>
      <c r="AS91" s="1">
        <v>29</v>
      </c>
      <c r="AT91" s="1">
        <v>68</v>
      </c>
      <c r="AU91" s="1">
        <v>48</v>
      </c>
      <c r="AV91" s="1">
        <v>38</v>
      </c>
      <c r="AW91" s="1">
        <v>28</v>
      </c>
      <c r="AX91" s="1">
        <v>23</v>
      </c>
      <c r="AY91" s="1">
        <v>13</v>
      </c>
      <c r="AZ91" s="1">
        <v>5</v>
      </c>
      <c r="BA91" s="1">
        <v>1</v>
      </c>
      <c r="BB91" s="1">
        <v>0</v>
      </c>
      <c r="BC91" s="1">
        <v>1</v>
      </c>
    </row>
    <row r="92" spans="1:255" ht="16.5" customHeight="1">
      <c r="A92" s="1" t="s">
        <v>63</v>
      </c>
      <c r="B92" s="1">
        <v>2018</v>
      </c>
      <c r="C92" s="1">
        <v>196</v>
      </c>
      <c r="D92" s="1">
        <v>0</v>
      </c>
      <c r="E92" s="1">
        <v>0</v>
      </c>
      <c r="F92" s="1">
        <v>1</v>
      </c>
      <c r="G92" s="1">
        <v>0</v>
      </c>
      <c r="H92" s="1">
        <v>1</v>
      </c>
      <c r="I92" s="1">
        <v>1</v>
      </c>
      <c r="J92" s="1">
        <v>1</v>
      </c>
      <c r="K92" s="1">
        <v>0</v>
      </c>
      <c r="L92" s="1">
        <v>1</v>
      </c>
      <c r="M92" s="1">
        <v>1</v>
      </c>
      <c r="N92" s="1">
        <v>0</v>
      </c>
      <c r="O92" s="1">
        <v>0</v>
      </c>
      <c r="P92" s="1">
        <v>2</v>
      </c>
      <c r="Q92" s="1">
        <v>5</v>
      </c>
      <c r="R92" s="1">
        <v>3</v>
      </c>
      <c r="S92" s="1">
        <v>2</v>
      </c>
      <c r="T92" s="1">
        <v>2</v>
      </c>
      <c r="U92" s="1">
        <v>1</v>
      </c>
      <c r="V92" s="1">
        <v>4</v>
      </c>
      <c r="W92" s="1">
        <v>3</v>
      </c>
      <c r="X92" s="1">
        <v>2</v>
      </c>
      <c r="Y92" s="1">
        <v>1</v>
      </c>
      <c r="Z92" s="1">
        <v>0</v>
      </c>
      <c r="AA92" s="1">
        <v>1</v>
      </c>
      <c r="AB92" s="1">
        <v>3</v>
      </c>
      <c r="AC92" s="1">
        <v>1</v>
      </c>
      <c r="AD92" s="1">
        <v>1</v>
      </c>
      <c r="AE92" s="1">
        <v>4</v>
      </c>
      <c r="AF92" s="1">
        <v>1</v>
      </c>
      <c r="AG92" s="1">
        <v>0</v>
      </c>
      <c r="AH92" s="1">
        <v>0</v>
      </c>
      <c r="AI92" s="1">
        <v>2</v>
      </c>
      <c r="AJ92" s="1">
        <v>2</v>
      </c>
      <c r="AK92" s="1">
        <v>1</v>
      </c>
      <c r="AL92" s="1">
        <v>1</v>
      </c>
      <c r="AM92" s="1">
        <v>0</v>
      </c>
      <c r="AN92" s="1">
        <v>0</v>
      </c>
      <c r="AO92" s="1">
        <v>1</v>
      </c>
      <c r="AP92" s="1">
        <v>0</v>
      </c>
      <c r="AQ92" s="1">
        <v>0</v>
      </c>
      <c r="AR92" s="1">
        <v>4</v>
      </c>
      <c r="AS92" s="1">
        <v>6</v>
      </c>
      <c r="AT92" s="1">
        <v>24</v>
      </c>
      <c r="AU92" s="1">
        <v>31</v>
      </c>
      <c r="AV92" s="1">
        <v>36</v>
      </c>
      <c r="AW92" s="1">
        <v>22</v>
      </c>
      <c r="AX92" s="1">
        <v>9</v>
      </c>
      <c r="AY92" s="1">
        <v>6</v>
      </c>
      <c r="AZ92" s="1">
        <v>4</v>
      </c>
      <c r="BA92" s="1">
        <v>2</v>
      </c>
      <c r="BB92" s="1">
        <v>2</v>
      </c>
      <c r="BC92" s="1">
        <v>1</v>
      </c>
    </row>
    <row r="93" spans="1:255" ht="16.5" customHeight="1">
      <c r="A93" s="1" t="s">
        <v>63</v>
      </c>
      <c r="B93" s="1">
        <v>2019</v>
      </c>
      <c r="C93" s="1">
        <v>115</v>
      </c>
      <c r="D93" s="1">
        <v>1</v>
      </c>
      <c r="E93" s="1">
        <v>0</v>
      </c>
      <c r="F93" s="1">
        <v>0</v>
      </c>
      <c r="G93" s="1">
        <v>0</v>
      </c>
      <c r="H93" s="1">
        <v>1</v>
      </c>
      <c r="I93" s="1">
        <v>0</v>
      </c>
      <c r="J93" s="1">
        <v>0</v>
      </c>
      <c r="K93" s="1">
        <v>0</v>
      </c>
      <c r="L93" s="1">
        <v>0</v>
      </c>
      <c r="M93" s="1">
        <v>1</v>
      </c>
      <c r="N93" s="1">
        <v>0</v>
      </c>
      <c r="O93" s="1">
        <v>0</v>
      </c>
      <c r="P93" s="1">
        <v>1</v>
      </c>
      <c r="Q93" s="1">
        <v>0</v>
      </c>
      <c r="R93" s="1">
        <v>3</v>
      </c>
      <c r="S93" s="1">
        <v>1</v>
      </c>
      <c r="T93" s="1">
        <v>4</v>
      </c>
      <c r="U93" s="1">
        <v>1</v>
      </c>
      <c r="V93" s="1">
        <v>0</v>
      </c>
      <c r="W93" s="1">
        <v>1</v>
      </c>
      <c r="X93" s="1">
        <v>3</v>
      </c>
      <c r="Y93" s="1">
        <v>1</v>
      </c>
      <c r="Z93" s="1">
        <v>0</v>
      </c>
      <c r="AA93" s="1">
        <v>1</v>
      </c>
      <c r="AB93" s="1">
        <v>0</v>
      </c>
      <c r="AC93" s="1">
        <v>1</v>
      </c>
      <c r="AD93" s="1">
        <v>1</v>
      </c>
      <c r="AE93" s="1">
        <v>0</v>
      </c>
      <c r="AF93" s="1">
        <v>2</v>
      </c>
      <c r="AG93" s="1">
        <v>0</v>
      </c>
      <c r="AH93" s="1">
        <v>1</v>
      </c>
      <c r="AI93" s="1">
        <v>2</v>
      </c>
      <c r="AJ93" s="1">
        <v>1</v>
      </c>
      <c r="AK93" s="1">
        <v>0</v>
      </c>
      <c r="AL93" s="1">
        <v>6</v>
      </c>
      <c r="AM93" s="1">
        <v>2</v>
      </c>
      <c r="AN93" s="1">
        <v>1</v>
      </c>
      <c r="AO93" s="1">
        <v>1</v>
      </c>
      <c r="AP93" s="1">
        <v>0</v>
      </c>
      <c r="AQ93" s="1">
        <v>0</v>
      </c>
      <c r="AR93" s="1">
        <v>2</v>
      </c>
      <c r="AS93" s="1">
        <v>4</v>
      </c>
      <c r="AT93" s="1">
        <v>1</v>
      </c>
      <c r="AU93" s="1">
        <v>7</v>
      </c>
      <c r="AV93" s="1">
        <v>14</v>
      </c>
      <c r="AW93" s="1">
        <v>18</v>
      </c>
      <c r="AX93" s="1">
        <v>9</v>
      </c>
      <c r="AY93" s="1">
        <v>15</v>
      </c>
      <c r="AZ93" s="1">
        <v>4</v>
      </c>
      <c r="BA93" s="1">
        <v>4</v>
      </c>
      <c r="BB93" s="1">
        <v>0</v>
      </c>
      <c r="BC93" s="1">
        <v>0</v>
      </c>
    </row>
    <row r="94" spans="1:255" ht="16.5" customHeight="1">
      <c r="A94" s="1" t="s">
        <v>63</v>
      </c>
      <c r="B94" s="1">
        <v>2020</v>
      </c>
      <c r="C94" s="1">
        <v>95</v>
      </c>
      <c r="D94" s="1">
        <v>0</v>
      </c>
      <c r="E94" s="1">
        <v>0</v>
      </c>
      <c r="F94" s="1">
        <v>1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1</v>
      </c>
      <c r="O94" s="1">
        <v>0</v>
      </c>
      <c r="P94" s="1">
        <v>0</v>
      </c>
      <c r="Q94" s="1">
        <v>0</v>
      </c>
      <c r="R94" s="1">
        <v>1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1</v>
      </c>
      <c r="Y94" s="1">
        <v>0</v>
      </c>
      <c r="Z94" s="1">
        <v>2</v>
      </c>
      <c r="AA94" s="1">
        <v>0</v>
      </c>
      <c r="AB94" s="1">
        <v>0</v>
      </c>
      <c r="AC94" s="1">
        <v>1</v>
      </c>
      <c r="AD94" s="1">
        <v>0</v>
      </c>
      <c r="AE94" s="1">
        <v>1</v>
      </c>
      <c r="AF94" s="1">
        <v>0</v>
      </c>
      <c r="AG94" s="1">
        <v>0</v>
      </c>
      <c r="AH94" s="1">
        <v>1</v>
      </c>
      <c r="AI94" s="1">
        <v>0</v>
      </c>
      <c r="AJ94" s="1">
        <v>0</v>
      </c>
      <c r="AK94" s="1">
        <v>1</v>
      </c>
      <c r="AL94" s="1">
        <v>1</v>
      </c>
      <c r="AM94" s="1">
        <v>0</v>
      </c>
      <c r="AN94" s="1">
        <v>0</v>
      </c>
      <c r="AO94" s="1">
        <v>1</v>
      </c>
      <c r="AP94" s="1">
        <v>2</v>
      </c>
      <c r="AQ94" s="1">
        <v>0</v>
      </c>
      <c r="AR94" s="1">
        <v>1</v>
      </c>
      <c r="AS94" s="1">
        <v>5</v>
      </c>
      <c r="AT94" s="1">
        <v>9</v>
      </c>
      <c r="AU94" s="1">
        <v>21</v>
      </c>
      <c r="AV94" s="1">
        <v>9</v>
      </c>
      <c r="AW94" s="1">
        <v>11</v>
      </c>
      <c r="AX94" s="1">
        <v>11</v>
      </c>
      <c r="AY94" s="1">
        <v>7</v>
      </c>
      <c r="AZ94" s="1">
        <v>3</v>
      </c>
      <c r="BA94" s="1">
        <v>2</v>
      </c>
      <c r="BB94" s="1">
        <v>2</v>
      </c>
      <c r="BC94" s="1">
        <v>0</v>
      </c>
    </row>
    <row r="95" spans="1:255" ht="16.5" customHeight="1">
      <c r="A95" s="1" t="s">
        <v>63</v>
      </c>
      <c r="B95" s="1">
        <v>2021</v>
      </c>
      <c r="C95" s="1">
        <v>120</v>
      </c>
      <c r="D95" s="1">
        <v>2</v>
      </c>
      <c r="E95" s="1">
        <v>1</v>
      </c>
      <c r="F95" s="1">
        <v>0</v>
      </c>
      <c r="G95" s="1">
        <v>0</v>
      </c>
      <c r="H95" s="1">
        <v>1</v>
      </c>
      <c r="I95" s="1">
        <v>1</v>
      </c>
      <c r="J95" s="1">
        <v>1</v>
      </c>
      <c r="K95" s="1">
        <v>0</v>
      </c>
      <c r="L95" s="1">
        <v>0</v>
      </c>
      <c r="M95" s="1">
        <v>0</v>
      </c>
      <c r="N95" s="1">
        <v>0</v>
      </c>
      <c r="O95" s="1">
        <v>1</v>
      </c>
      <c r="P95" s="1">
        <v>0</v>
      </c>
      <c r="Q95" s="1">
        <v>1</v>
      </c>
      <c r="R95" s="1">
        <v>0</v>
      </c>
      <c r="S95" s="1">
        <v>0</v>
      </c>
      <c r="T95" s="1">
        <v>0</v>
      </c>
      <c r="U95" s="1">
        <v>1</v>
      </c>
      <c r="V95" s="1">
        <v>0</v>
      </c>
      <c r="W95" s="1">
        <v>1</v>
      </c>
      <c r="X95" s="1">
        <v>0</v>
      </c>
      <c r="Y95" s="1">
        <v>1</v>
      </c>
      <c r="Z95" s="1">
        <v>1</v>
      </c>
      <c r="AA95" s="1">
        <v>0</v>
      </c>
      <c r="AB95" s="1">
        <v>1</v>
      </c>
      <c r="AC95" s="1">
        <v>0</v>
      </c>
      <c r="AD95" s="1">
        <v>1</v>
      </c>
      <c r="AE95" s="1">
        <v>0</v>
      </c>
      <c r="AF95" s="1">
        <v>1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1</v>
      </c>
      <c r="AO95" s="1">
        <v>1</v>
      </c>
      <c r="AP95" s="1">
        <v>0</v>
      </c>
      <c r="AQ95" s="1">
        <v>2</v>
      </c>
      <c r="AR95" s="1">
        <v>0</v>
      </c>
      <c r="AS95" s="1">
        <v>2</v>
      </c>
      <c r="AT95" s="1">
        <v>8</v>
      </c>
      <c r="AU95" s="1">
        <v>5</v>
      </c>
      <c r="AV95" s="1">
        <v>8</v>
      </c>
      <c r="AW95" s="1">
        <v>15</v>
      </c>
      <c r="AX95" s="1">
        <v>29</v>
      </c>
      <c r="AY95" s="1">
        <v>17</v>
      </c>
      <c r="AZ95" s="1">
        <v>9</v>
      </c>
      <c r="BA95" s="1">
        <v>4</v>
      </c>
      <c r="BB95" s="1">
        <v>1</v>
      </c>
      <c r="BC95" s="1">
        <v>3</v>
      </c>
    </row>
    <row r="96" spans="1:255" ht="16.5" customHeight="1">
      <c r="A96" s="1" t="s">
        <v>63</v>
      </c>
      <c r="B96" s="1">
        <v>2022</v>
      </c>
      <c r="C96" s="1">
        <v>150</v>
      </c>
      <c r="D96" s="1">
        <v>1</v>
      </c>
      <c r="E96" s="1">
        <v>5</v>
      </c>
      <c r="F96" s="1">
        <v>1</v>
      </c>
      <c r="G96" s="1">
        <v>1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2</v>
      </c>
      <c r="T96" s="1">
        <v>0</v>
      </c>
      <c r="U96" s="1">
        <v>1</v>
      </c>
      <c r="V96" s="1">
        <v>0</v>
      </c>
      <c r="W96" s="1">
        <v>0</v>
      </c>
      <c r="X96" s="1">
        <v>1</v>
      </c>
      <c r="Y96" s="1">
        <v>1</v>
      </c>
      <c r="Z96" s="1">
        <v>0</v>
      </c>
      <c r="AA96" s="1">
        <v>0</v>
      </c>
      <c r="AB96" s="1">
        <v>0</v>
      </c>
      <c r="AC96" s="1">
        <v>0</v>
      </c>
      <c r="AD96" s="1">
        <v>1</v>
      </c>
      <c r="AE96" s="1">
        <v>0</v>
      </c>
      <c r="AF96" s="1">
        <v>1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2</v>
      </c>
      <c r="AM96" s="1">
        <v>2</v>
      </c>
      <c r="AN96" s="1">
        <v>1</v>
      </c>
      <c r="AO96" s="1">
        <v>1</v>
      </c>
      <c r="AP96" s="1">
        <v>0</v>
      </c>
      <c r="AQ96" s="1">
        <v>0</v>
      </c>
      <c r="AR96" s="1">
        <v>1</v>
      </c>
      <c r="AS96" s="1">
        <v>2</v>
      </c>
      <c r="AT96" s="1">
        <v>9</v>
      </c>
      <c r="AU96" s="1">
        <v>15</v>
      </c>
      <c r="AV96" s="1">
        <v>28</v>
      </c>
      <c r="AW96" s="1">
        <v>29</v>
      </c>
      <c r="AX96" s="1">
        <v>21</v>
      </c>
      <c r="AY96" s="1">
        <v>12</v>
      </c>
      <c r="AZ96" s="1">
        <v>6</v>
      </c>
      <c r="BA96" s="1">
        <v>3</v>
      </c>
      <c r="BB96" s="1">
        <v>1</v>
      </c>
      <c r="BC96" s="1">
        <v>2</v>
      </c>
    </row>
    <row r="97" spans="1:255" ht="16.5" customHeight="1">
      <c r="A97" s="3" t="s">
        <v>63</v>
      </c>
      <c r="B97" s="3">
        <v>2023</v>
      </c>
      <c r="C97" s="3">
        <v>140</v>
      </c>
      <c r="D97" s="3">
        <v>2</v>
      </c>
      <c r="E97" s="3">
        <v>0</v>
      </c>
      <c r="F97" s="3">
        <v>1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1</v>
      </c>
      <c r="Q97" s="3">
        <v>1</v>
      </c>
      <c r="R97" s="3">
        <v>0</v>
      </c>
      <c r="S97" s="3">
        <v>0</v>
      </c>
      <c r="T97" s="3">
        <v>0</v>
      </c>
      <c r="U97" s="3">
        <v>0</v>
      </c>
      <c r="V97" s="3">
        <v>2</v>
      </c>
      <c r="W97" s="3">
        <v>1</v>
      </c>
      <c r="X97" s="3">
        <v>0</v>
      </c>
      <c r="Y97" s="3">
        <v>0</v>
      </c>
      <c r="Z97" s="3">
        <v>1</v>
      </c>
      <c r="AA97" s="3">
        <v>0</v>
      </c>
      <c r="AB97" s="3">
        <v>0</v>
      </c>
      <c r="AC97" s="3">
        <v>1</v>
      </c>
      <c r="AD97" s="3">
        <v>2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1</v>
      </c>
      <c r="AP97" s="3">
        <v>0</v>
      </c>
      <c r="AQ97" s="3">
        <v>0</v>
      </c>
      <c r="AR97" s="3">
        <v>0</v>
      </c>
      <c r="AS97" s="3">
        <v>4</v>
      </c>
      <c r="AT97" s="3">
        <v>9</v>
      </c>
      <c r="AU97" s="3">
        <v>14</v>
      </c>
      <c r="AV97" s="3">
        <v>35</v>
      </c>
      <c r="AW97" s="3">
        <v>21</v>
      </c>
      <c r="AX97" s="3">
        <v>24</v>
      </c>
      <c r="AY97" s="3">
        <v>9</v>
      </c>
      <c r="AZ97" s="3">
        <v>4</v>
      </c>
      <c r="BA97" s="3">
        <v>3</v>
      </c>
      <c r="BB97" s="3">
        <v>3</v>
      </c>
      <c r="BC97" s="3">
        <v>1</v>
      </c>
    </row>
    <row r="98" spans="1:255" ht="16.5" customHeight="1">
      <c r="A98" s="1" t="s">
        <v>63</v>
      </c>
      <c r="B98" s="1">
        <v>2024</v>
      </c>
      <c r="C98" s="1">
        <v>160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1</v>
      </c>
      <c r="L98" s="1">
        <v>1</v>
      </c>
      <c r="M98" s="1">
        <v>0</v>
      </c>
      <c r="N98" s="1">
        <v>0</v>
      </c>
      <c r="O98" s="1">
        <v>0</v>
      </c>
      <c r="P98" s="1">
        <v>0</v>
      </c>
      <c r="Q98" s="1">
        <v>1</v>
      </c>
      <c r="R98" s="1">
        <v>1</v>
      </c>
      <c r="S98" s="1">
        <v>1</v>
      </c>
      <c r="T98" s="1">
        <v>1</v>
      </c>
      <c r="U98" s="1">
        <v>0</v>
      </c>
      <c r="V98" s="1">
        <v>0</v>
      </c>
      <c r="W98" s="1">
        <v>3</v>
      </c>
      <c r="X98" s="1">
        <v>2</v>
      </c>
      <c r="Y98" s="1">
        <v>1</v>
      </c>
      <c r="Z98" s="1">
        <v>0</v>
      </c>
      <c r="AA98" s="1">
        <v>1</v>
      </c>
      <c r="AB98" s="1">
        <v>1</v>
      </c>
      <c r="AC98" s="1">
        <v>1</v>
      </c>
      <c r="AD98" s="1">
        <v>1</v>
      </c>
      <c r="AE98" s="1">
        <v>0</v>
      </c>
      <c r="AF98" s="1">
        <v>0</v>
      </c>
      <c r="AG98" s="1">
        <v>0</v>
      </c>
      <c r="AH98" s="1">
        <v>0</v>
      </c>
      <c r="AI98" s="1">
        <v>2</v>
      </c>
      <c r="AJ98" s="1">
        <v>0</v>
      </c>
      <c r="AK98" s="1">
        <v>1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1</v>
      </c>
      <c r="AT98" s="1">
        <v>5</v>
      </c>
      <c r="AU98" s="1">
        <v>21</v>
      </c>
      <c r="AV98" s="1">
        <v>27</v>
      </c>
      <c r="AW98" s="1">
        <v>19</v>
      </c>
      <c r="AX98" s="1">
        <v>19</v>
      </c>
      <c r="AY98" s="1">
        <v>20</v>
      </c>
      <c r="AZ98" s="1">
        <v>22</v>
      </c>
      <c r="BA98" s="1">
        <v>5</v>
      </c>
      <c r="BB98" s="1">
        <v>2</v>
      </c>
      <c r="BC98" s="1">
        <v>0</v>
      </c>
    </row>
    <row r="99" spans="1:255" ht="16.5" customHeight="1">
      <c r="A99" s="1" t="s">
        <v>63</v>
      </c>
      <c r="B99" s="1">
        <v>2025</v>
      </c>
      <c r="C99" s="1">
        <v>104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1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2</v>
      </c>
      <c r="AC99" s="1">
        <v>0</v>
      </c>
      <c r="AD99" s="1">
        <v>0</v>
      </c>
      <c r="AE99" s="1">
        <v>0</v>
      </c>
      <c r="AF99" s="1">
        <v>1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1</v>
      </c>
      <c r="AO99" s="1">
        <v>0</v>
      </c>
      <c r="AP99" s="1">
        <v>0</v>
      </c>
      <c r="AQ99" s="1">
        <v>0</v>
      </c>
      <c r="AR99" s="1">
        <v>0</v>
      </c>
      <c r="AS99" s="1">
        <v>1</v>
      </c>
      <c r="AT99" s="1">
        <v>4</v>
      </c>
      <c r="AU99" s="1">
        <v>8</v>
      </c>
      <c r="AV99" s="1">
        <v>10</v>
      </c>
      <c r="AW99" s="1">
        <v>29</v>
      </c>
      <c r="AX99" s="1">
        <v>24</v>
      </c>
      <c r="AY99" s="1">
        <v>12</v>
      </c>
      <c r="AZ99" s="1">
        <v>5</v>
      </c>
      <c r="BA99" s="1">
        <v>3</v>
      </c>
      <c r="BB99" s="1">
        <v>3</v>
      </c>
      <c r="BC99" s="1">
        <v>0</v>
      </c>
    </row>
    <row r="100" spans="1:255" ht="16.5" customHeight="1">
      <c r="A100" s="2" t="s">
        <v>2</v>
      </c>
      <c r="B100" s="2"/>
      <c r="C100" s="2">
        <f t="shared" ref="C100:AH100" si="16">SUM(C90:C99)</f>
        <v>1740</v>
      </c>
      <c r="D100" s="2">
        <f t="shared" si="16"/>
        <v>7</v>
      </c>
      <c r="E100" s="2">
        <f t="shared" si="16"/>
        <v>6</v>
      </c>
      <c r="F100" s="2">
        <f t="shared" si="16"/>
        <v>10</v>
      </c>
      <c r="G100" s="2">
        <f t="shared" si="16"/>
        <v>2</v>
      </c>
      <c r="H100" s="2">
        <f t="shared" si="16"/>
        <v>4</v>
      </c>
      <c r="I100" s="2">
        <f t="shared" si="16"/>
        <v>3</v>
      </c>
      <c r="J100" s="2">
        <f t="shared" si="16"/>
        <v>5</v>
      </c>
      <c r="K100" s="2">
        <f t="shared" si="16"/>
        <v>1</v>
      </c>
      <c r="L100" s="2">
        <f t="shared" si="16"/>
        <v>2</v>
      </c>
      <c r="M100" s="2">
        <f t="shared" si="16"/>
        <v>3</v>
      </c>
      <c r="N100" s="2">
        <f t="shared" si="16"/>
        <v>3</v>
      </c>
      <c r="O100" s="2">
        <f t="shared" si="16"/>
        <v>2</v>
      </c>
      <c r="P100" s="2">
        <f t="shared" si="16"/>
        <v>4</v>
      </c>
      <c r="Q100" s="2">
        <f t="shared" si="16"/>
        <v>12</v>
      </c>
      <c r="R100" s="2">
        <f t="shared" si="16"/>
        <v>10</v>
      </c>
      <c r="S100" s="2">
        <f t="shared" si="16"/>
        <v>8</v>
      </c>
      <c r="T100" s="2">
        <f t="shared" si="16"/>
        <v>13</v>
      </c>
      <c r="U100" s="2">
        <f t="shared" si="16"/>
        <v>4</v>
      </c>
      <c r="V100" s="2">
        <f t="shared" si="16"/>
        <v>9</v>
      </c>
      <c r="W100" s="2">
        <f t="shared" si="16"/>
        <v>11</v>
      </c>
      <c r="X100" s="2">
        <f t="shared" si="16"/>
        <v>13</v>
      </c>
      <c r="Y100" s="2">
        <f t="shared" si="16"/>
        <v>11</v>
      </c>
      <c r="Z100" s="2">
        <f t="shared" si="16"/>
        <v>11</v>
      </c>
      <c r="AA100" s="2">
        <f t="shared" si="16"/>
        <v>5</v>
      </c>
      <c r="AB100" s="2">
        <f t="shared" si="16"/>
        <v>12</v>
      </c>
      <c r="AC100" s="2">
        <f t="shared" si="16"/>
        <v>12</v>
      </c>
      <c r="AD100" s="2">
        <f t="shared" si="16"/>
        <v>11</v>
      </c>
      <c r="AE100" s="2">
        <f t="shared" si="16"/>
        <v>7</v>
      </c>
      <c r="AF100" s="2">
        <f t="shared" si="16"/>
        <v>8</v>
      </c>
      <c r="AG100" s="2">
        <f t="shared" si="16"/>
        <v>3</v>
      </c>
      <c r="AH100" s="2">
        <f t="shared" si="16"/>
        <v>6</v>
      </c>
      <c r="AI100" s="2">
        <f t="shared" ref="AI100:BD100" si="17">SUM(AI90:AI99)</f>
        <v>7</v>
      </c>
      <c r="AJ100" s="2">
        <f t="shared" si="17"/>
        <v>6</v>
      </c>
      <c r="AK100" s="2">
        <f t="shared" si="17"/>
        <v>6</v>
      </c>
      <c r="AL100" s="2">
        <f t="shared" si="17"/>
        <v>12</v>
      </c>
      <c r="AM100" s="2">
        <f t="shared" si="17"/>
        <v>11</v>
      </c>
      <c r="AN100" s="2">
        <f t="shared" si="17"/>
        <v>10</v>
      </c>
      <c r="AO100" s="2">
        <f t="shared" si="17"/>
        <v>8</v>
      </c>
      <c r="AP100" s="2">
        <f t="shared" si="17"/>
        <v>7</v>
      </c>
      <c r="AQ100" s="2">
        <f t="shared" si="17"/>
        <v>10</v>
      </c>
      <c r="AR100" s="2">
        <f t="shared" si="17"/>
        <v>25</v>
      </c>
      <c r="AS100" s="2">
        <f t="shared" si="17"/>
        <v>61</v>
      </c>
      <c r="AT100" s="2">
        <f t="shared" si="17"/>
        <v>149</v>
      </c>
      <c r="AU100" s="2">
        <f t="shared" si="17"/>
        <v>192</v>
      </c>
      <c r="AV100" s="2">
        <f t="shared" si="17"/>
        <v>251</v>
      </c>
      <c r="AW100" s="2">
        <f t="shared" si="17"/>
        <v>271</v>
      </c>
      <c r="AX100" s="2">
        <f t="shared" si="17"/>
        <v>221</v>
      </c>
      <c r="AY100" s="2">
        <f t="shared" si="17"/>
        <v>132</v>
      </c>
      <c r="AZ100" s="2">
        <f t="shared" si="17"/>
        <v>77</v>
      </c>
      <c r="BA100" s="2">
        <f t="shared" si="17"/>
        <v>34</v>
      </c>
      <c r="BB100" s="2">
        <f t="shared" si="17"/>
        <v>21</v>
      </c>
      <c r="BC100" s="2">
        <f t="shared" si="17"/>
        <v>9</v>
      </c>
      <c r="BD100" s="2">
        <f t="shared" si="17"/>
        <v>2</v>
      </c>
    </row>
    <row r="101" spans="1:255" ht="16.5" customHeight="1">
      <c r="A101" s="4" t="s">
        <v>64</v>
      </c>
      <c r="B101" s="4">
        <v>2016</v>
      </c>
      <c r="C101" s="4">
        <v>73</v>
      </c>
      <c r="D101" s="5">
        <v>0</v>
      </c>
      <c r="E101" s="4">
        <v>1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1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1</v>
      </c>
      <c r="AJ101" s="4">
        <v>1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1</v>
      </c>
      <c r="AS101" s="4">
        <v>4</v>
      </c>
      <c r="AT101" s="4">
        <v>2</v>
      </c>
      <c r="AU101" s="4">
        <v>6</v>
      </c>
      <c r="AV101" s="4">
        <v>22</v>
      </c>
      <c r="AW101" s="4">
        <v>20</v>
      </c>
      <c r="AX101" s="4">
        <v>8</v>
      </c>
      <c r="AY101" s="4">
        <v>5</v>
      </c>
      <c r="AZ101" s="4">
        <v>0</v>
      </c>
      <c r="BA101" s="4">
        <v>1</v>
      </c>
      <c r="BB101" s="4">
        <v>0</v>
      </c>
      <c r="BC101" s="4">
        <v>0</v>
      </c>
      <c r="BD101" s="4">
        <v>0</v>
      </c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  <c r="EM101" s="4"/>
      <c r="EN101" s="4"/>
      <c r="EO101" s="4"/>
      <c r="EP101" s="4"/>
      <c r="EQ101" s="4"/>
      <c r="ER101" s="4"/>
      <c r="ES101" s="4"/>
      <c r="ET101" s="4"/>
      <c r="EU101" s="4"/>
      <c r="EV101" s="4"/>
      <c r="EW101" s="4"/>
      <c r="EX101" s="4"/>
      <c r="EY101" s="4"/>
      <c r="EZ101" s="4"/>
      <c r="FA101" s="4"/>
      <c r="FB101" s="4"/>
      <c r="FC101" s="4"/>
      <c r="FD101" s="4"/>
      <c r="FE101" s="4"/>
      <c r="FF101" s="4"/>
      <c r="FG101" s="4"/>
      <c r="FH101" s="4"/>
      <c r="FI101" s="4"/>
      <c r="FJ101" s="4"/>
      <c r="FK101" s="4"/>
      <c r="FL101" s="4"/>
      <c r="FM101" s="4"/>
      <c r="FN101" s="4"/>
      <c r="FO101" s="4"/>
      <c r="FP101" s="4"/>
      <c r="FQ101" s="4"/>
      <c r="FR101" s="4"/>
      <c r="FS101" s="4"/>
      <c r="FT101" s="4"/>
      <c r="FU101" s="4"/>
      <c r="FV101" s="4"/>
      <c r="FW101" s="4"/>
      <c r="FX101" s="4"/>
      <c r="FY101" s="4"/>
      <c r="FZ101" s="4"/>
      <c r="GA101" s="4"/>
      <c r="GB101" s="4"/>
      <c r="GC101" s="4"/>
      <c r="GD101" s="4"/>
      <c r="GE101" s="4"/>
      <c r="GF101" s="4"/>
      <c r="GG101" s="4"/>
      <c r="GH101" s="4"/>
      <c r="GI101" s="4"/>
      <c r="GJ101" s="4"/>
      <c r="GK101" s="4"/>
      <c r="GL101" s="4"/>
      <c r="GM101" s="4"/>
      <c r="GN101" s="4"/>
      <c r="GO101" s="4"/>
      <c r="GP101" s="4"/>
      <c r="GQ101" s="4"/>
      <c r="GR101" s="4"/>
      <c r="GS101" s="4"/>
      <c r="GT101" s="4"/>
      <c r="GU101" s="4"/>
      <c r="GV101" s="4"/>
      <c r="GW101" s="4"/>
      <c r="GX101" s="4"/>
      <c r="GY101" s="4"/>
      <c r="GZ101" s="4"/>
      <c r="HA101" s="4"/>
      <c r="HB101" s="4"/>
      <c r="HC101" s="4"/>
      <c r="HD101" s="4"/>
      <c r="HE101" s="4"/>
      <c r="HF101" s="4"/>
      <c r="HG101" s="4"/>
      <c r="HH101" s="4"/>
      <c r="HI101" s="4"/>
      <c r="HJ101" s="4"/>
      <c r="HK101" s="4"/>
      <c r="HL101" s="4"/>
      <c r="HM101" s="4"/>
      <c r="HN101" s="4"/>
      <c r="HO101" s="4"/>
      <c r="HP101" s="4"/>
      <c r="HQ101" s="4"/>
      <c r="HR101" s="4"/>
      <c r="HS101" s="4"/>
      <c r="HT101" s="4"/>
      <c r="HU101" s="4"/>
      <c r="HV101" s="4"/>
      <c r="HW101" s="4"/>
      <c r="HX101" s="4"/>
      <c r="HY101" s="4"/>
      <c r="HZ101" s="4"/>
      <c r="IA101" s="4"/>
      <c r="IB101" s="4"/>
      <c r="IC101" s="4"/>
      <c r="ID101" s="4"/>
      <c r="IE101" s="4"/>
      <c r="IF101" s="4"/>
      <c r="IG101" s="4"/>
      <c r="IH101" s="4"/>
      <c r="II101" s="4"/>
      <c r="IJ101" s="4"/>
      <c r="IK101" s="4"/>
      <c r="IL101" s="4"/>
      <c r="IM101" s="4"/>
      <c r="IN101" s="4"/>
      <c r="IO101" s="4"/>
      <c r="IP101" s="4"/>
      <c r="IQ101" s="4"/>
      <c r="IR101" s="4"/>
      <c r="IS101" s="4"/>
      <c r="IT101" s="4"/>
      <c r="IU101" s="4"/>
    </row>
    <row r="102" spans="1:255" ht="16.5" customHeight="1">
      <c r="A102" s="1" t="s">
        <v>64</v>
      </c>
      <c r="B102" s="1">
        <v>2017</v>
      </c>
      <c r="C102" s="1">
        <v>65</v>
      </c>
      <c r="D102" s="1">
        <v>0</v>
      </c>
      <c r="E102" s="1">
        <v>0</v>
      </c>
      <c r="F102" s="1">
        <v>0</v>
      </c>
      <c r="G102" s="1">
        <v>1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1</v>
      </c>
      <c r="AC102" s="1">
        <v>0</v>
      </c>
      <c r="AD102" s="1">
        <v>1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1</v>
      </c>
      <c r="AM102" s="1">
        <v>0</v>
      </c>
      <c r="AN102" s="1">
        <v>2</v>
      </c>
      <c r="AO102" s="1">
        <v>1</v>
      </c>
      <c r="AP102" s="1">
        <v>0</v>
      </c>
      <c r="AQ102" s="1">
        <v>1</v>
      </c>
      <c r="AR102" s="1">
        <v>9</v>
      </c>
      <c r="AS102" s="1">
        <v>6</v>
      </c>
      <c r="AT102" s="1">
        <v>19</v>
      </c>
      <c r="AU102" s="1">
        <v>9</v>
      </c>
      <c r="AV102" s="1">
        <v>4</v>
      </c>
      <c r="AW102" s="1">
        <v>4</v>
      </c>
      <c r="AX102" s="1">
        <v>3</v>
      </c>
      <c r="AY102" s="1">
        <v>1</v>
      </c>
      <c r="AZ102" s="1">
        <v>1</v>
      </c>
      <c r="BA102" s="1">
        <v>0</v>
      </c>
      <c r="BB102" s="1">
        <v>1</v>
      </c>
      <c r="BC102" s="1">
        <v>0</v>
      </c>
    </row>
    <row r="103" spans="1:255" ht="16.5" customHeight="1">
      <c r="A103" s="1" t="s">
        <v>64</v>
      </c>
      <c r="B103" s="1">
        <v>2018</v>
      </c>
      <c r="C103" s="1">
        <v>43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1</v>
      </c>
      <c r="V103" s="1">
        <v>1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1</v>
      </c>
      <c r="AF103" s="1">
        <v>0</v>
      </c>
      <c r="AG103" s="1">
        <v>1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1</v>
      </c>
      <c r="AO103" s="1">
        <v>0</v>
      </c>
      <c r="AP103" s="1">
        <v>1</v>
      </c>
      <c r="AQ103" s="1">
        <v>0</v>
      </c>
      <c r="AR103" s="1">
        <v>1</v>
      </c>
      <c r="AS103" s="1">
        <v>4</v>
      </c>
      <c r="AT103" s="1">
        <v>4</v>
      </c>
      <c r="AU103" s="1">
        <v>10</v>
      </c>
      <c r="AV103" s="1">
        <v>10</v>
      </c>
      <c r="AW103" s="1">
        <v>4</v>
      </c>
      <c r="AX103" s="1">
        <v>3</v>
      </c>
      <c r="AY103" s="1">
        <v>0</v>
      </c>
      <c r="AZ103" s="1">
        <v>1</v>
      </c>
      <c r="BA103" s="1">
        <v>0</v>
      </c>
      <c r="BB103" s="1">
        <v>0</v>
      </c>
      <c r="BC103" s="1">
        <v>0</v>
      </c>
    </row>
    <row r="104" spans="1:255" ht="16.5" customHeight="1">
      <c r="A104" s="1" t="s">
        <v>64</v>
      </c>
      <c r="B104" s="1">
        <v>2019</v>
      </c>
      <c r="C104" s="1">
        <v>12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1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1</v>
      </c>
      <c r="AI104" s="1">
        <v>0</v>
      </c>
      <c r="AJ104" s="1">
        <v>0</v>
      </c>
      <c r="AK104" s="1">
        <v>0</v>
      </c>
      <c r="AL104" s="1">
        <v>0</v>
      </c>
      <c r="AM104" s="1">
        <v>1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1</v>
      </c>
      <c r="AV104" s="1">
        <v>4</v>
      </c>
      <c r="AW104" s="1">
        <v>0</v>
      </c>
      <c r="AX104" s="1">
        <v>1</v>
      </c>
      <c r="AY104" s="1">
        <v>2</v>
      </c>
      <c r="AZ104" s="1">
        <v>0</v>
      </c>
      <c r="BA104" s="1">
        <v>0</v>
      </c>
      <c r="BB104" s="1">
        <v>0</v>
      </c>
      <c r="BC104" s="1">
        <v>1</v>
      </c>
    </row>
    <row r="105" spans="1:255" ht="16.5" customHeight="1">
      <c r="A105" s="1" t="s">
        <v>64</v>
      </c>
      <c r="B105" s="1">
        <v>2020</v>
      </c>
      <c r="C105" s="1">
        <v>30</v>
      </c>
      <c r="D105" s="1">
        <v>0</v>
      </c>
      <c r="E105" s="1">
        <v>1</v>
      </c>
      <c r="F105" s="1">
        <v>0</v>
      </c>
      <c r="G105" s="1">
        <v>0</v>
      </c>
      <c r="H105" s="1">
        <v>1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1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1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1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3</v>
      </c>
      <c r="AU105" s="1">
        <v>5</v>
      </c>
      <c r="AV105" s="1">
        <v>3</v>
      </c>
      <c r="AW105" s="1">
        <v>7</v>
      </c>
      <c r="AX105" s="1">
        <v>3</v>
      </c>
      <c r="AY105" s="1">
        <v>4</v>
      </c>
      <c r="AZ105" s="1">
        <v>0</v>
      </c>
      <c r="BA105" s="1">
        <v>0</v>
      </c>
      <c r="BB105" s="1">
        <v>0</v>
      </c>
      <c r="BC105" s="1">
        <v>0</v>
      </c>
    </row>
    <row r="106" spans="1:255" ht="16.5" customHeight="1">
      <c r="A106" s="1" t="s">
        <v>64</v>
      </c>
      <c r="B106" s="1">
        <v>2021</v>
      </c>
      <c r="C106" s="1">
        <v>33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1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1</v>
      </c>
      <c r="AR106" s="1">
        <v>0</v>
      </c>
      <c r="AS106" s="1">
        <v>2</v>
      </c>
      <c r="AT106" s="1">
        <v>0</v>
      </c>
      <c r="AU106" s="1">
        <v>2</v>
      </c>
      <c r="AV106" s="1">
        <v>9</v>
      </c>
      <c r="AW106" s="1">
        <v>5</v>
      </c>
      <c r="AX106" s="1">
        <v>8</v>
      </c>
      <c r="AY106" s="1">
        <v>1</v>
      </c>
      <c r="AZ106" s="1">
        <v>2</v>
      </c>
      <c r="BA106" s="1">
        <v>0</v>
      </c>
      <c r="BB106" s="1">
        <v>2</v>
      </c>
      <c r="BC106" s="1">
        <v>0</v>
      </c>
    </row>
    <row r="107" spans="1:255" ht="16.5" customHeight="1">
      <c r="A107" s="1" t="s">
        <v>64</v>
      </c>
      <c r="B107" s="1">
        <v>2022</v>
      </c>
      <c r="C107" s="1">
        <v>44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1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1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1</v>
      </c>
      <c r="AT107" s="1">
        <v>2</v>
      </c>
      <c r="AU107" s="1">
        <v>7</v>
      </c>
      <c r="AV107" s="1">
        <v>10</v>
      </c>
      <c r="AW107" s="1">
        <v>8</v>
      </c>
      <c r="AX107" s="1">
        <v>10</v>
      </c>
      <c r="AY107" s="1">
        <v>4</v>
      </c>
      <c r="AZ107" s="1">
        <v>0</v>
      </c>
      <c r="BA107" s="1">
        <v>0</v>
      </c>
      <c r="BB107" s="1">
        <v>0</v>
      </c>
      <c r="BC107" s="1">
        <v>0</v>
      </c>
    </row>
    <row r="108" spans="1:255" ht="16.5" customHeight="1">
      <c r="A108" s="1" t="s">
        <v>64</v>
      </c>
      <c r="B108" s="1">
        <v>2023</v>
      </c>
      <c r="C108" s="1">
        <v>44</v>
      </c>
      <c r="D108" s="1">
        <v>0</v>
      </c>
      <c r="E108" s="1">
        <v>0</v>
      </c>
      <c r="F108" s="1">
        <v>0</v>
      </c>
      <c r="G108" s="1">
        <v>0</v>
      </c>
      <c r="H108" s="1">
        <v>1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1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1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1</v>
      </c>
      <c r="AJ108" s="1">
        <v>0</v>
      </c>
      <c r="AK108" s="1">
        <v>1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1</v>
      </c>
      <c r="AT108" s="1">
        <v>5</v>
      </c>
      <c r="AU108" s="1">
        <v>14</v>
      </c>
      <c r="AV108" s="1">
        <v>6</v>
      </c>
      <c r="AW108" s="1">
        <v>7</v>
      </c>
      <c r="AX108" s="1">
        <v>3</v>
      </c>
      <c r="AY108" s="1">
        <v>2</v>
      </c>
      <c r="AZ108" s="1">
        <v>1</v>
      </c>
      <c r="BA108" s="1">
        <v>0</v>
      </c>
      <c r="BB108" s="1">
        <v>0</v>
      </c>
      <c r="BC108" s="1">
        <v>0</v>
      </c>
    </row>
    <row r="109" spans="1:255" ht="16.5" customHeight="1">
      <c r="A109" s="3" t="s">
        <v>64</v>
      </c>
      <c r="B109" s="3">
        <v>2024</v>
      </c>
      <c r="C109" s="3">
        <v>23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5</v>
      </c>
      <c r="AV109" s="3">
        <v>7</v>
      </c>
      <c r="AW109" s="3">
        <v>0</v>
      </c>
      <c r="AX109" s="3">
        <v>5</v>
      </c>
      <c r="AY109" s="3">
        <v>0</v>
      </c>
      <c r="AZ109" s="3">
        <v>4</v>
      </c>
      <c r="BA109" s="3">
        <v>2</v>
      </c>
      <c r="BB109" s="3">
        <v>0</v>
      </c>
      <c r="BC109" s="3">
        <v>0</v>
      </c>
    </row>
    <row r="110" spans="1:255" ht="16.5" customHeight="1">
      <c r="A110" s="1" t="s">
        <v>64</v>
      </c>
      <c r="B110" s="1">
        <v>2025</v>
      </c>
      <c r="C110" s="1">
        <v>26</v>
      </c>
      <c r="D110" s="1">
        <v>1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3</v>
      </c>
      <c r="AV110" s="1">
        <v>4</v>
      </c>
      <c r="AW110" s="1">
        <v>8</v>
      </c>
      <c r="AX110" s="1">
        <v>3</v>
      </c>
      <c r="AY110" s="1">
        <v>4</v>
      </c>
      <c r="AZ110" s="1">
        <v>2</v>
      </c>
      <c r="BA110" s="1">
        <v>0</v>
      </c>
      <c r="BB110" s="1">
        <v>1</v>
      </c>
      <c r="BC110" s="1">
        <v>0</v>
      </c>
    </row>
    <row r="111" spans="1:255" ht="16.5" customHeight="1">
      <c r="A111" s="2" t="s">
        <v>2</v>
      </c>
      <c r="B111" s="2"/>
      <c r="C111" s="2">
        <f t="shared" ref="C111:AH111" si="18">SUM(C101:C110)</f>
        <v>393</v>
      </c>
      <c r="D111" s="2">
        <f t="shared" si="18"/>
        <v>1</v>
      </c>
      <c r="E111" s="2">
        <f t="shared" si="18"/>
        <v>2</v>
      </c>
      <c r="F111" s="2">
        <f t="shared" si="18"/>
        <v>0</v>
      </c>
      <c r="G111" s="2">
        <f t="shared" si="18"/>
        <v>1</v>
      </c>
      <c r="H111" s="2">
        <f t="shared" si="18"/>
        <v>2</v>
      </c>
      <c r="I111" s="2">
        <f t="shared" si="18"/>
        <v>2</v>
      </c>
      <c r="J111" s="2">
        <f t="shared" si="18"/>
        <v>0</v>
      </c>
      <c r="K111" s="2">
        <f t="shared" si="18"/>
        <v>0</v>
      </c>
      <c r="L111" s="2">
        <f t="shared" si="18"/>
        <v>0</v>
      </c>
      <c r="M111" s="2">
        <f t="shared" si="18"/>
        <v>0</v>
      </c>
      <c r="N111" s="2">
        <f t="shared" si="18"/>
        <v>0</v>
      </c>
      <c r="O111" s="2">
        <f t="shared" si="18"/>
        <v>0</v>
      </c>
      <c r="P111" s="2">
        <f t="shared" si="18"/>
        <v>0</v>
      </c>
      <c r="Q111" s="2">
        <f t="shared" si="18"/>
        <v>0</v>
      </c>
      <c r="R111" s="2">
        <f t="shared" si="18"/>
        <v>0</v>
      </c>
      <c r="S111" s="2">
        <f t="shared" si="18"/>
        <v>2</v>
      </c>
      <c r="T111" s="2">
        <f t="shared" si="18"/>
        <v>0</v>
      </c>
      <c r="U111" s="2">
        <f t="shared" si="18"/>
        <v>1</v>
      </c>
      <c r="V111" s="2">
        <f t="shared" si="18"/>
        <v>2</v>
      </c>
      <c r="W111" s="2">
        <f t="shared" si="18"/>
        <v>0</v>
      </c>
      <c r="X111" s="2">
        <f t="shared" si="18"/>
        <v>0</v>
      </c>
      <c r="Y111" s="2">
        <f t="shared" si="18"/>
        <v>1</v>
      </c>
      <c r="Z111" s="2">
        <f t="shared" si="18"/>
        <v>0</v>
      </c>
      <c r="AA111" s="2">
        <f t="shared" si="18"/>
        <v>1</v>
      </c>
      <c r="AB111" s="2">
        <f t="shared" si="18"/>
        <v>2</v>
      </c>
      <c r="AC111" s="2">
        <f t="shared" si="18"/>
        <v>1</v>
      </c>
      <c r="AD111" s="2">
        <f t="shared" si="18"/>
        <v>1</v>
      </c>
      <c r="AE111" s="2">
        <f t="shared" si="18"/>
        <v>1</v>
      </c>
      <c r="AF111" s="2">
        <f t="shared" si="18"/>
        <v>0</v>
      </c>
      <c r="AG111" s="2">
        <f t="shared" si="18"/>
        <v>1</v>
      </c>
      <c r="AH111" s="2">
        <f t="shared" si="18"/>
        <v>1</v>
      </c>
      <c r="AI111" s="2">
        <f t="shared" ref="AI111:BD111" si="19">SUM(AI101:AI110)</f>
        <v>2</v>
      </c>
      <c r="AJ111" s="2">
        <f t="shared" si="19"/>
        <v>1</v>
      </c>
      <c r="AK111" s="2">
        <f t="shared" si="19"/>
        <v>1</v>
      </c>
      <c r="AL111" s="2">
        <f t="shared" si="19"/>
        <v>2</v>
      </c>
      <c r="AM111" s="2">
        <f t="shared" si="19"/>
        <v>1</v>
      </c>
      <c r="AN111" s="2">
        <f t="shared" si="19"/>
        <v>3</v>
      </c>
      <c r="AO111" s="2">
        <f t="shared" si="19"/>
        <v>1</v>
      </c>
      <c r="AP111" s="2">
        <f t="shared" si="19"/>
        <v>1</v>
      </c>
      <c r="AQ111" s="2">
        <f t="shared" si="19"/>
        <v>2</v>
      </c>
      <c r="AR111" s="2">
        <f t="shared" si="19"/>
        <v>11</v>
      </c>
      <c r="AS111" s="2">
        <f t="shared" si="19"/>
        <v>18</v>
      </c>
      <c r="AT111" s="2">
        <f t="shared" si="19"/>
        <v>35</v>
      </c>
      <c r="AU111" s="2">
        <f t="shared" si="19"/>
        <v>62</v>
      </c>
      <c r="AV111" s="2">
        <f t="shared" si="19"/>
        <v>79</v>
      </c>
      <c r="AW111" s="2">
        <f t="shared" si="19"/>
        <v>63</v>
      </c>
      <c r="AX111" s="2">
        <f t="shared" si="19"/>
        <v>47</v>
      </c>
      <c r="AY111" s="2">
        <f t="shared" si="19"/>
        <v>23</v>
      </c>
      <c r="AZ111" s="2">
        <f t="shared" si="19"/>
        <v>11</v>
      </c>
      <c r="BA111" s="2">
        <f t="shared" si="19"/>
        <v>3</v>
      </c>
      <c r="BB111" s="2">
        <f t="shared" si="19"/>
        <v>4</v>
      </c>
      <c r="BC111" s="2">
        <f t="shared" si="19"/>
        <v>1</v>
      </c>
      <c r="BD111" s="2">
        <f t="shared" si="19"/>
        <v>0</v>
      </c>
    </row>
    <row r="112" spans="1:255" ht="16.5" customHeight="1">
      <c r="A112" s="4" t="s">
        <v>65</v>
      </c>
      <c r="B112" s="4">
        <v>2016</v>
      </c>
      <c r="C112" s="4">
        <v>472</v>
      </c>
      <c r="D112" s="5">
        <v>1</v>
      </c>
      <c r="E112" s="4">
        <v>2</v>
      </c>
      <c r="F112" s="4">
        <v>1</v>
      </c>
      <c r="G112" s="4">
        <v>0</v>
      </c>
      <c r="H112" s="4">
        <v>2</v>
      </c>
      <c r="I112" s="4">
        <v>1</v>
      </c>
      <c r="J112" s="4">
        <v>0</v>
      </c>
      <c r="K112" s="4">
        <v>2</v>
      </c>
      <c r="L112" s="4">
        <v>0</v>
      </c>
      <c r="M112" s="4">
        <v>0</v>
      </c>
      <c r="N112" s="4">
        <v>0</v>
      </c>
      <c r="O112" s="4">
        <v>1</v>
      </c>
      <c r="P112" s="4">
        <v>0</v>
      </c>
      <c r="Q112" s="4">
        <v>2</v>
      </c>
      <c r="R112" s="4">
        <v>0</v>
      </c>
      <c r="S112" s="4">
        <v>1</v>
      </c>
      <c r="T112" s="4">
        <v>0</v>
      </c>
      <c r="U112" s="4">
        <v>1</v>
      </c>
      <c r="V112" s="4">
        <v>0</v>
      </c>
      <c r="W112" s="4">
        <v>0</v>
      </c>
      <c r="X112" s="4">
        <v>0</v>
      </c>
      <c r="Y112" s="4">
        <v>1</v>
      </c>
      <c r="Z112" s="4">
        <v>1</v>
      </c>
      <c r="AA112" s="4">
        <v>1</v>
      </c>
      <c r="AB112" s="4">
        <v>2</v>
      </c>
      <c r="AC112" s="4">
        <v>1</v>
      </c>
      <c r="AD112" s="4">
        <v>2</v>
      </c>
      <c r="AE112" s="4">
        <v>1</v>
      </c>
      <c r="AF112" s="4">
        <v>2</v>
      </c>
      <c r="AG112" s="4">
        <v>2</v>
      </c>
      <c r="AH112" s="4">
        <v>1</v>
      </c>
      <c r="AI112" s="4">
        <v>0</v>
      </c>
      <c r="AJ112" s="4">
        <v>0</v>
      </c>
      <c r="AK112" s="4">
        <v>3</v>
      </c>
      <c r="AL112" s="4">
        <v>0</v>
      </c>
      <c r="AM112" s="4">
        <v>4</v>
      </c>
      <c r="AN112" s="4">
        <v>4</v>
      </c>
      <c r="AO112" s="4">
        <v>2</v>
      </c>
      <c r="AP112" s="4">
        <v>3</v>
      </c>
      <c r="AQ112" s="4">
        <v>7</v>
      </c>
      <c r="AR112" s="4">
        <v>5</v>
      </c>
      <c r="AS112" s="4">
        <v>14</v>
      </c>
      <c r="AT112" s="4">
        <v>11</v>
      </c>
      <c r="AU112" s="4">
        <v>56</v>
      </c>
      <c r="AV112" s="4">
        <v>104</v>
      </c>
      <c r="AW112" s="4">
        <v>94</v>
      </c>
      <c r="AX112" s="4">
        <v>53</v>
      </c>
      <c r="AY112" s="4">
        <v>45</v>
      </c>
      <c r="AZ112" s="4">
        <v>20</v>
      </c>
      <c r="BA112" s="4">
        <v>11</v>
      </c>
      <c r="BB112" s="4">
        <v>5</v>
      </c>
      <c r="BC112" s="4">
        <v>1</v>
      </c>
      <c r="BD112" s="4">
        <v>2</v>
      </c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  <c r="EM112" s="4"/>
      <c r="EN112" s="4"/>
      <c r="EO112" s="4"/>
      <c r="EP112" s="4"/>
      <c r="EQ112" s="4"/>
      <c r="ER112" s="4"/>
      <c r="ES112" s="4"/>
      <c r="ET112" s="4"/>
      <c r="EU112" s="4"/>
      <c r="EV112" s="4"/>
      <c r="EW112" s="4"/>
      <c r="EX112" s="4"/>
      <c r="EY112" s="4"/>
      <c r="EZ112" s="4"/>
      <c r="FA112" s="4"/>
      <c r="FB112" s="4"/>
      <c r="FC112" s="4"/>
      <c r="FD112" s="4"/>
      <c r="FE112" s="4"/>
      <c r="FF112" s="4"/>
      <c r="FG112" s="4"/>
      <c r="FH112" s="4"/>
      <c r="FI112" s="4"/>
      <c r="FJ112" s="4"/>
      <c r="FK112" s="4"/>
      <c r="FL112" s="4"/>
      <c r="FM112" s="4"/>
      <c r="FN112" s="4"/>
      <c r="FO112" s="4"/>
      <c r="FP112" s="4"/>
      <c r="FQ112" s="4"/>
      <c r="FR112" s="4"/>
      <c r="FS112" s="4"/>
      <c r="FT112" s="4"/>
      <c r="FU112" s="4"/>
      <c r="FV112" s="4"/>
      <c r="FW112" s="4"/>
      <c r="FX112" s="4"/>
      <c r="FY112" s="4"/>
      <c r="FZ112" s="4"/>
      <c r="GA112" s="4"/>
      <c r="GB112" s="4"/>
      <c r="GC112" s="4"/>
      <c r="GD112" s="4"/>
      <c r="GE112" s="4"/>
      <c r="GF112" s="4"/>
      <c r="GG112" s="4"/>
      <c r="GH112" s="4"/>
      <c r="GI112" s="4"/>
      <c r="GJ112" s="4"/>
      <c r="GK112" s="4"/>
      <c r="GL112" s="4"/>
      <c r="GM112" s="4"/>
      <c r="GN112" s="4"/>
      <c r="GO112" s="4"/>
      <c r="GP112" s="4"/>
      <c r="GQ112" s="4"/>
      <c r="GR112" s="4"/>
      <c r="GS112" s="4"/>
      <c r="GT112" s="4"/>
      <c r="GU112" s="4"/>
      <c r="GV112" s="4"/>
      <c r="GW112" s="4"/>
      <c r="GX112" s="4"/>
      <c r="GY112" s="4"/>
      <c r="GZ112" s="4"/>
      <c r="HA112" s="4"/>
      <c r="HB112" s="4"/>
      <c r="HC112" s="4"/>
      <c r="HD112" s="4"/>
      <c r="HE112" s="4"/>
      <c r="HF112" s="4"/>
      <c r="HG112" s="4"/>
      <c r="HH112" s="4"/>
      <c r="HI112" s="4"/>
      <c r="HJ112" s="4"/>
      <c r="HK112" s="4"/>
      <c r="HL112" s="4"/>
      <c r="HM112" s="4"/>
      <c r="HN112" s="4"/>
      <c r="HO112" s="4"/>
      <c r="HP112" s="4"/>
      <c r="HQ112" s="4"/>
      <c r="HR112" s="4"/>
      <c r="HS112" s="4"/>
      <c r="HT112" s="4"/>
      <c r="HU112" s="4"/>
      <c r="HV112" s="4"/>
      <c r="HW112" s="4"/>
      <c r="HX112" s="4"/>
      <c r="HY112" s="4"/>
      <c r="HZ112" s="4"/>
      <c r="IA112" s="4"/>
      <c r="IB112" s="4"/>
      <c r="IC112" s="4"/>
      <c r="ID112" s="4"/>
      <c r="IE112" s="4"/>
      <c r="IF112" s="4"/>
      <c r="IG112" s="4"/>
      <c r="IH112" s="4"/>
      <c r="II112" s="4"/>
      <c r="IJ112" s="4"/>
      <c r="IK112" s="4"/>
      <c r="IL112" s="4"/>
      <c r="IM112" s="4"/>
      <c r="IN112" s="4"/>
      <c r="IO112" s="4"/>
      <c r="IP112" s="4"/>
      <c r="IQ112" s="4"/>
      <c r="IR112" s="4"/>
      <c r="IS112" s="4"/>
      <c r="IT112" s="4"/>
      <c r="IU112" s="4"/>
    </row>
    <row r="113" spans="1:255" ht="16.5" customHeight="1">
      <c r="A113" s="1" t="s">
        <v>65</v>
      </c>
      <c r="B113" s="1">
        <v>2017</v>
      </c>
      <c r="C113" s="1">
        <v>540</v>
      </c>
      <c r="D113" s="1">
        <v>1</v>
      </c>
      <c r="E113" s="1">
        <v>2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1</v>
      </c>
      <c r="S113" s="1">
        <v>0</v>
      </c>
      <c r="T113" s="1">
        <v>1</v>
      </c>
      <c r="U113" s="1">
        <v>1</v>
      </c>
      <c r="V113" s="1">
        <v>1</v>
      </c>
      <c r="W113" s="1">
        <v>0</v>
      </c>
      <c r="X113" s="1">
        <v>1</v>
      </c>
      <c r="Y113" s="1">
        <v>0</v>
      </c>
      <c r="Z113" s="1">
        <v>1</v>
      </c>
      <c r="AA113" s="1">
        <v>0</v>
      </c>
      <c r="AB113" s="1">
        <v>0</v>
      </c>
      <c r="AC113" s="1">
        <v>0</v>
      </c>
      <c r="AD113" s="1">
        <v>1</v>
      </c>
      <c r="AE113" s="1">
        <v>1</v>
      </c>
      <c r="AF113" s="1">
        <v>0</v>
      </c>
      <c r="AG113" s="1">
        <v>0</v>
      </c>
      <c r="AH113" s="1">
        <v>3</v>
      </c>
      <c r="AI113" s="1">
        <v>0</v>
      </c>
      <c r="AJ113" s="1">
        <v>3</v>
      </c>
      <c r="AK113" s="1">
        <v>1</v>
      </c>
      <c r="AL113" s="1">
        <v>1</v>
      </c>
      <c r="AM113" s="1">
        <v>1</v>
      </c>
      <c r="AN113" s="1">
        <v>2</v>
      </c>
      <c r="AO113" s="1">
        <v>1</v>
      </c>
      <c r="AP113" s="1">
        <v>2</v>
      </c>
      <c r="AQ113" s="1">
        <v>5</v>
      </c>
      <c r="AR113" s="1">
        <v>9</v>
      </c>
      <c r="AS113" s="1">
        <v>32</v>
      </c>
      <c r="AT113" s="1">
        <v>43</v>
      </c>
      <c r="AU113" s="1">
        <v>79</v>
      </c>
      <c r="AV113" s="1">
        <v>144</v>
      </c>
      <c r="AW113" s="1">
        <v>121</v>
      </c>
      <c r="AX113" s="1">
        <v>57</v>
      </c>
      <c r="AY113" s="1">
        <v>15</v>
      </c>
      <c r="AZ113" s="1">
        <v>5</v>
      </c>
      <c r="BA113" s="1">
        <v>3</v>
      </c>
      <c r="BB113" s="1">
        <v>2</v>
      </c>
      <c r="BC113" s="1">
        <v>0</v>
      </c>
    </row>
    <row r="114" spans="1:255" ht="16.5" customHeight="1">
      <c r="A114" s="1" t="s">
        <v>65</v>
      </c>
      <c r="B114" s="1">
        <v>2018</v>
      </c>
      <c r="C114" s="1">
        <v>249</v>
      </c>
      <c r="D114" s="1">
        <v>2</v>
      </c>
      <c r="E114" s="1">
        <v>1</v>
      </c>
      <c r="F114" s="1">
        <v>0</v>
      </c>
      <c r="G114" s="1">
        <v>1</v>
      </c>
      <c r="H114" s="1">
        <v>0</v>
      </c>
      <c r="I114" s="1">
        <v>0</v>
      </c>
      <c r="J114" s="1">
        <v>1</v>
      </c>
      <c r="K114" s="1">
        <v>1</v>
      </c>
      <c r="L114" s="1">
        <v>0</v>
      </c>
      <c r="M114" s="1">
        <v>0</v>
      </c>
      <c r="N114" s="1">
        <v>0</v>
      </c>
      <c r="O114" s="1">
        <v>1</v>
      </c>
      <c r="P114" s="1">
        <v>0</v>
      </c>
      <c r="Q114" s="1">
        <v>1</v>
      </c>
      <c r="R114" s="1">
        <v>0</v>
      </c>
      <c r="S114" s="1">
        <v>2</v>
      </c>
      <c r="T114" s="1">
        <v>0</v>
      </c>
      <c r="U114" s="1">
        <v>0</v>
      </c>
      <c r="V114" s="1">
        <v>1</v>
      </c>
      <c r="W114" s="1">
        <v>0</v>
      </c>
      <c r="X114" s="1">
        <v>1</v>
      </c>
      <c r="Y114" s="1">
        <v>0</v>
      </c>
      <c r="Z114" s="1">
        <v>2</v>
      </c>
      <c r="AA114" s="1">
        <v>0</v>
      </c>
      <c r="AB114" s="1">
        <v>1</v>
      </c>
      <c r="AC114" s="1">
        <v>0</v>
      </c>
      <c r="AD114" s="1">
        <v>0</v>
      </c>
      <c r="AE114" s="1">
        <v>0</v>
      </c>
      <c r="AF114" s="1">
        <v>1</v>
      </c>
      <c r="AG114" s="1">
        <v>1</v>
      </c>
      <c r="AH114" s="1">
        <v>1</v>
      </c>
      <c r="AI114" s="1">
        <v>2</v>
      </c>
      <c r="AJ114" s="1">
        <v>0</v>
      </c>
      <c r="AK114" s="1">
        <v>1</v>
      </c>
      <c r="AL114" s="1">
        <v>0</v>
      </c>
      <c r="AM114" s="1">
        <v>0</v>
      </c>
      <c r="AN114" s="1">
        <v>0</v>
      </c>
      <c r="AO114" s="1">
        <v>1</v>
      </c>
      <c r="AP114" s="1">
        <v>0</v>
      </c>
      <c r="AQ114" s="1">
        <v>0</v>
      </c>
      <c r="AR114" s="1">
        <v>5</v>
      </c>
      <c r="AS114" s="1">
        <v>16</v>
      </c>
      <c r="AT114" s="1">
        <v>21</v>
      </c>
      <c r="AU114" s="1">
        <v>44</v>
      </c>
      <c r="AV114" s="1">
        <v>59</v>
      </c>
      <c r="AW114" s="1">
        <v>41</v>
      </c>
      <c r="AX114" s="1">
        <v>20</v>
      </c>
      <c r="AY114" s="1">
        <v>10</v>
      </c>
      <c r="AZ114" s="1">
        <v>8</v>
      </c>
      <c r="BA114" s="1">
        <v>2</v>
      </c>
      <c r="BB114" s="1">
        <v>1</v>
      </c>
      <c r="BC114" s="1">
        <v>0</v>
      </c>
    </row>
    <row r="115" spans="1:255" ht="16.5" customHeight="1">
      <c r="A115" s="1" t="s">
        <v>65</v>
      </c>
      <c r="B115" s="1">
        <v>2019</v>
      </c>
      <c r="C115" s="1">
        <v>142</v>
      </c>
      <c r="D115" s="1">
        <v>0</v>
      </c>
      <c r="E115" s="1">
        <v>1</v>
      </c>
      <c r="F115" s="1">
        <v>1</v>
      </c>
      <c r="G115" s="1">
        <v>0</v>
      </c>
      <c r="H115" s="1">
        <v>1</v>
      </c>
      <c r="I115" s="1">
        <v>0</v>
      </c>
      <c r="J115" s="1">
        <v>0</v>
      </c>
      <c r="K115" s="1">
        <v>0</v>
      </c>
      <c r="L115" s="1">
        <v>0</v>
      </c>
      <c r="M115" s="1">
        <v>1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2</v>
      </c>
      <c r="U115" s="1">
        <v>1</v>
      </c>
      <c r="V115" s="1">
        <v>0</v>
      </c>
      <c r="W115" s="1">
        <v>0</v>
      </c>
      <c r="X115" s="1">
        <v>2</v>
      </c>
      <c r="Y115" s="1">
        <v>1</v>
      </c>
      <c r="Z115" s="1">
        <v>0</v>
      </c>
      <c r="AA115" s="1">
        <v>3</v>
      </c>
      <c r="AB115" s="1">
        <v>0</v>
      </c>
      <c r="AC115" s="1">
        <v>0</v>
      </c>
      <c r="AD115" s="1">
        <v>1</v>
      </c>
      <c r="AE115" s="1">
        <v>0</v>
      </c>
      <c r="AF115" s="1">
        <v>0</v>
      </c>
      <c r="AG115" s="1">
        <v>0</v>
      </c>
      <c r="AH115" s="1">
        <v>1</v>
      </c>
      <c r="AI115" s="1">
        <v>0</v>
      </c>
      <c r="AJ115" s="1">
        <v>0</v>
      </c>
      <c r="AK115" s="1">
        <v>1</v>
      </c>
      <c r="AL115" s="1">
        <v>0</v>
      </c>
      <c r="AM115" s="1">
        <v>2</v>
      </c>
      <c r="AN115" s="1">
        <v>0</v>
      </c>
      <c r="AO115" s="1">
        <v>0</v>
      </c>
      <c r="AP115" s="1">
        <v>2</v>
      </c>
      <c r="AQ115" s="1">
        <v>2</v>
      </c>
      <c r="AR115" s="1">
        <v>3</v>
      </c>
      <c r="AS115" s="1">
        <v>3</v>
      </c>
      <c r="AT115" s="1">
        <v>4</v>
      </c>
      <c r="AU115" s="1">
        <v>8</v>
      </c>
      <c r="AV115" s="1">
        <v>18</v>
      </c>
      <c r="AW115" s="1">
        <v>29</v>
      </c>
      <c r="AX115" s="1">
        <v>15</v>
      </c>
      <c r="AY115" s="1">
        <v>19</v>
      </c>
      <c r="AZ115" s="1">
        <v>10</v>
      </c>
      <c r="BA115" s="1">
        <v>6</v>
      </c>
      <c r="BB115" s="1">
        <v>3</v>
      </c>
      <c r="BC115" s="1">
        <v>2</v>
      </c>
    </row>
    <row r="116" spans="1:255" ht="16.5" customHeight="1">
      <c r="A116" s="1" t="s">
        <v>65</v>
      </c>
      <c r="B116" s="1">
        <v>2020</v>
      </c>
      <c r="C116" s="1">
        <v>235</v>
      </c>
      <c r="D116" s="1">
        <v>1</v>
      </c>
      <c r="E116" s="1">
        <v>1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1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1</v>
      </c>
      <c r="X116" s="1">
        <v>0</v>
      </c>
      <c r="Y116" s="1">
        <v>1</v>
      </c>
      <c r="Z116" s="1">
        <v>0</v>
      </c>
      <c r="AA116" s="1">
        <v>0</v>
      </c>
      <c r="AB116" s="1">
        <v>1</v>
      </c>
      <c r="AC116" s="1">
        <v>1</v>
      </c>
      <c r="AD116" s="1">
        <v>1</v>
      </c>
      <c r="AE116" s="1">
        <v>1</v>
      </c>
      <c r="AF116" s="1">
        <v>2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2</v>
      </c>
      <c r="AN116" s="1">
        <v>1</v>
      </c>
      <c r="AO116" s="1">
        <v>0</v>
      </c>
      <c r="AP116" s="1">
        <v>1</v>
      </c>
      <c r="AQ116" s="1">
        <v>0</v>
      </c>
      <c r="AR116" s="1">
        <v>0</v>
      </c>
      <c r="AS116" s="1">
        <v>4</v>
      </c>
      <c r="AT116" s="1">
        <v>13</v>
      </c>
      <c r="AU116" s="1">
        <v>19</v>
      </c>
      <c r="AV116" s="1">
        <v>35</v>
      </c>
      <c r="AW116" s="1">
        <v>52</v>
      </c>
      <c r="AX116" s="1">
        <v>41</v>
      </c>
      <c r="AY116" s="1">
        <v>32</v>
      </c>
      <c r="AZ116" s="1">
        <v>12</v>
      </c>
      <c r="BA116" s="1">
        <v>7</v>
      </c>
      <c r="BB116" s="1">
        <v>5</v>
      </c>
      <c r="BC116" s="1">
        <v>0</v>
      </c>
    </row>
    <row r="117" spans="1:255" ht="16.5" customHeight="1">
      <c r="A117" s="1" t="s">
        <v>65</v>
      </c>
      <c r="B117" s="1">
        <v>2021</v>
      </c>
      <c r="C117" s="1">
        <v>247</v>
      </c>
      <c r="D117" s="1">
        <v>0</v>
      </c>
      <c r="E117" s="1">
        <v>0</v>
      </c>
      <c r="F117" s="1">
        <v>0</v>
      </c>
      <c r="G117" s="1">
        <v>0</v>
      </c>
      <c r="H117" s="1">
        <v>1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1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1</v>
      </c>
      <c r="AC117" s="1">
        <v>1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1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1</v>
      </c>
      <c r="AQ117" s="1">
        <v>1</v>
      </c>
      <c r="AR117" s="1">
        <v>4</v>
      </c>
      <c r="AS117" s="1">
        <v>7</v>
      </c>
      <c r="AT117" s="1">
        <v>15</v>
      </c>
      <c r="AU117" s="1">
        <v>13</v>
      </c>
      <c r="AV117" s="1">
        <v>20</v>
      </c>
      <c r="AW117" s="1">
        <v>45</v>
      </c>
      <c r="AX117" s="1">
        <v>54</v>
      </c>
      <c r="AY117" s="1">
        <v>46</v>
      </c>
      <c r="AZ117" s="1">
        <v>21</v>
      </c>
      <c r="BA117" s="1">
        <v>9</v>
      </c>
      <c r="BB117" s="1">
        <v>2</v>
      </c>
      <c r="BC117" s="1">
        <v>4</v>
      </c>
    </row>
    <row r="118" spans="1:255" ht="16.5" customHeight="1">
      <c r="A118" s="1" t="s">
        <v>65</v>
      </c>
      <c r="B118" s="1">
        <v>2022</v>
      </c>
      <c r="C118" s="1">
        <v>290</v>
      </c>
      <c r="D118" s="1">
        <v>1</v>
      </c>
      <c r="E118" s="1">
        <v>1</v>
      </c>
      <c r="F118" s="1">
        <v>2</v>
      </c>
      <c r="G118" s="1">
        <v>0</v>
      </c>
      <c r="H118" s="1">
        <v>1</v>
      </c>
      <c r="I118" s="1">
        <v>0</v>
      </c>
      <c r="J118" s="1">
        <v>0</v>
      </c>
      <c r="K118" s="1">
        <v>0</v>
      </c>
      <c r="L118" s="1">
        <v>0</v>
      </c>
      <c r="M118" s="1">
        <v>1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1</v>
      </c>
      <c r="T118" s="1">
        <v>0</v>
      </c>
      <c r="U118" s="1">
        <v>0</v>
      </c>
      <c r="V118" s="1">
        <v>0</v>
      </c>
      <c r="W118" s="1">
        <v>0</v>
      </c>
      <c r="X118" s="1">
        <v>1</v>
      </c>
      <c r="Y118" s="1">
        <v>0</v>
      </c>
      <c r="Z118" s="1">
        <v>1</v>
      </c>
      <c r="AA118" s="1">
        <v>0</v>
      </c>
      <c r="AB118" s="1">
        <v>0</v>
      </c>
      <c r="AC118" s="1">
        <v>0</v>
      </c>
      <c r="AD118" s="1">
        <v>1</v>
      </c>
      <c r="AE118" s="1">
        <v>0</v>
      </c>
      <c r="AF118" s="1">
        <v>0</v>
      </c>
      <c r="AG118" s="1">
        <v>0</v>
      </c>
      <c r="AH118" s="1">
        <v>1</v>
      </c>
      <c r="AI118" s="1">
        <v>0</v>
      </c>
      <c r="AJ118" s="1">
        <v>1</v>
      </c>
      <c r="AK118" s="1">
        <v>0</v>
      </c>
      <c r="AL118" s="1">
        <v>1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1</v>
      </c>
      <c r="AT118" s="1">
        <v>15</v>
      </c>
      <c r="AU118" s="1">
        <v>33</v>
      </c>
      <c r="AV118" s="1">
        <v>72</v>
      </c>
      <c r="AW118" s="1">
        <v>67</v>
      </c>
      <c r="AX118" s="1">
        <v>45</v>
      </c>
      <c r="AY118" s="1">
        <v>30</v>
      </c>
      <c r="AZ118" s="1">
        <v>5</v>
      </c>
      <c r="BA118" s="1">
        <v>4</v>
      </c>
      <c r="BB118" s="1">
        <v>4</v>
      </c>
      <c r="BC118" s="1">
        <v>1</v>
      </c>
    </row>
    <row r="119" spans="1:255" ht="16.5" customHeight="1">
      <c r="A119" s="1" t="s">
        <v>65</v>
      </c>
      <c r="B119" s="1">
        <v>2023</v>
      </c>
      <c r="C119" s="1">
        <v>177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1</v>
      </c>
      <c r="U119" s="1">
        <v>0</v>
      </c>
      <c r="V119" s="1">
        <v>1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1</v>
      </c>
      <c r="AC119" s="1">
        <v>0</v>
      </c>
      <c r="AD119" s="1">
        <v>1</v>
      </c>
      <c r="AE119" s="1">
        <v>0</v>
      </c>
      <c r="AF119" s="1">
        <v>0</v>
      </c>
      <c r="AG119" s="1">
        <v>0</v>
      </c>
      <c r="AH119" s="1">
        <v>1</v>
      </c>
      <c r="AI119" s="1">
        <v>1</v>
      </c>
      <c r="AJ119" s="1">
        <v>0</v>
      </c>
      <c r="AK119" s="1">
        <v>0</v>
      </c>
      <c r="AL119" s="1">
        <v>1</v>
      </c>
      <c r="AM119" s="1">
        <v>1</v>
      </c>
      <c r="AN119" s="1">
        <v>0</v>
      </c>
      <c r="AO119" s="1">
        <v>0</v>
      </c>
      <c r="AP119" s="1">
        <v>0</v>
      </c>
      <c r="AQ119" s="1">
        <v>3</v>
      </c>
      <c r="AR119" s="1">
        <v>2</v>
      </c>
      <c r="AS119" s="1">
        <v>4</v>
      </c>
      <c r="AT119" s="1">
        <v>13</v>
      </c>
      <c r="AU119" s="1">
        <v>30</v>
      </c>
      <c r="AV119" s="1">
        <v>39</v>
      </c>
      <c r="AW119" s="1">
        <v>31</v>
      </c>
      <c r="AX119" s="1">
        <v>25</v>
      </c>
      <c r="AY119" s="1">
        <v>12</v>
      </c>
      <c r="AZ119" s="1">
        <v>3</v>
      </c>
      <c r="BA119" s="1">
        <v>3</v>
      </c>
      <c r="BB119" s="1">
        <v>2</v>
      </c>
      <c r="BC119" s="1">
        <v>2</v>
      </c>
    </row>
    <row r="120" spans="1:255" ht="16.5" customHeight="1">
      <c r="A120" s="1" t="s">
        <v>65</v>
      </c>
      <c r="B120" s="1">
        <v>2024</v>
      </c>
      <c r="C120" s="1">
        <v>291</v>
      </c>
      <c r="D120" s="1">
        <v>0</v>
      </c>
      <c r="E120" s="1">
        <v>0</v>
      </c>
      <c r="F120" s="1">
        <v>0</v>
      </c>
      <c r="G120" s="1">
        <v>1</v>
      </c>
      <c r="H120" s="1">
        <v>0</v>
      </c>
      <c r="I120" s="1">
        <v>0</v>
      </c>
      <c r="J120" s="1">
        <v>0</v>
      </c>
      <c r="K120" s="1">
        <v>1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1</v>
      </c>
      <c r="R120" s="1">
        <v>1</v>
      </c>
      <c r="S120" s="1">
        <v>1</v>
      </c>
      <c r="T120" s="1">
        <v>1</v>
      </c>
      <c r="U120" s="1">
        <v>0</v>
      </c>
      <c r="V120" s="1">
        <v>1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1</v>
      </c>
      <c r="AD120" s="1">
        <v>0</v>
      </c>
      <c r="AE120" s="1">
        <v>0</v>
      </c>
      <c r="AF120" s="1">
        <v>0</v>
      </c>
      <c r="AG120" s="1">
        <v>0</v>
      </c>
      <c r="AH120" s="1">
        <v>2</v>
      </c>
      <c r="AI120" s="1">
        <v>0</v>
      </c>
      <c r="AJ120" s="1">
        <v>0</v>
      </c>
      <c r="AK120" s="1">
        <v>0</v>
      </c>
      <c r="AL120" s="1">
        <v>1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4</v>
      </c>
      <c r="AT120" s="1">
        <v>9</v>
      </c>
      <c r="AU120" s="1">
        <v>27</v>
      </c>
      <c r="AV120" s="1">
        <v>49</v>
      </c>
      <c r="AW120" s="1">
        <v>23</v>
      </c>
      <c r="AX120" s="1">
        <v>37</v>
      </c>
      <c r="AY120" s="1">
        <v>51</v>
      </c>
      <c r="AZ120" s="1">
        <v>43</v>
      </c>
      <c r="BA120" s="1">
        <v>26</v>
      </c>
      <c r="BB120" s="1">
        <v>6</v>
      </c>
      <c r="BC120" s="1">
        <v>5</v>
      </c>
    </row>
    <row r="121" spans="1:255" ht="16.5" customHeight="1">
      <c r="A121" s="3" t="s">
        <v>65</v>
      </c>
      <c r="B121" s="3">
        <v>2025</v>
      </c>
      <c r="C121" s="3">
        <v>117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1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1</v>
      </c>
      <c r="AR121" s="3">
        <v>0</v>
      </c>
      <c r="AS121" s="3">
        <v>2</v>
      </c>
      <c r="AT121" s="3">
        <v>7</v>
      </c>
      <c r="AU121" s="3">
        <v>8</v>
      </c>
      <c r="AV121" s="3">
        <v>7</v>
      </c>
      <c r="AW121" s="3">
        <v>15</v>
      </c>
      <c r="AX121" s="3">
        <v>21</v>
      </c>
      <c r="AY121" s="3">
        <v>32</v>
      </c>
      <c r="AZ121" s="3">
        <v>12</v>
      </c>
      <c r="BA121" s="3">
        <v>8</v>
      </c>
      <c r="BB121" s="3">
        <v>2</v>
      </c>
      <c r="BC121" s="3">
        <v>1</v>
      </c>
    </row>
    <row r="122" spans="1:255" ht="16.5" customHeight="1">
      <c r="A122" s="2" t="s">
        <v>2</v>
      </c>
      <c r="B122" s="2"/>
      <c r="C122" s="2">
        <f t="shared" ref="C122:AH122" si="20">SUM(C112:C121)</f>
        <v>2760</v>
      </c>
      <c r="D122" s="2">
        <f t="shared" si="20"/>
        <v>6</v>
      </c>
      <c r="E122" s="2">
        <f t="shared" si="20"/>
        <v>8</v>
      </c>
      <c r="F122" s="2">
        <f t="shared" si="20"/>
        <v>4</v>
      </c>
      <c r="G122" s="2">
        <f t="shared" si="20"/>
        <v>2</v>
      </c>
      <c r="H122" s="2">
        <f t="shared" si="20"/>
        <v>5</v>
      </c>
      <c r="I122" s="2">
        <f t="shared" si="20"/>
        <v>1</v>
      </c>
      <c r="J122" s="2">
        <f t="shared" si="20"/>
        <v>1</v>
      </c>
      <c r="K122" s="2">
        <f t="shared" si="20"/>
        <v>4</v>
      </c>
      <c r="L122" s="2">
        <f t="shared" si="20"/>
        <v>0</v>
      </c>
      <c r="M122" s="2">
        <f t="shared" si="20"/>
        <v>2</v>
      </c>
      <c r="N122" s="2">
        <f t="shared" si="20"/>
        <v>0</v>
      </c>
      <c r="O122" s="2">
        <f t="shared" si="20"/>
        <v>3</v>
      </c>
      <c r="P122" s="2">
        <f t="shared" si="20"/>
        <v>0</v>
      </c>
      <c r="Q122" s="2">
        <f t="shared" si="20"/>
        <v>5</v>
      </c>
      <c r="R122" s="2">
        <f t="shared" si="20"/>
        <v>2</v>
      </c>
      <c r="S122" s="2">
        <f t="shared" si="20"/>
        <v>5</v>
      </c>
      <c r="T122" s="2">
        <f t="shared" si="20"/>
        <v>5</v>
      </c>
      <c r="U122" s="2">
        <f t="shared" si="20"/>
        <v>3</v>
      </c>
      <c r="V122" s="2">
        <f t="shared" si="20"/>
        <v>5</v>
      </c>
      <c r="W122" s="2">
        <f t="shared" si="20"/>
        <v>1</v>
      </c>
      <c r="X122" s="2">
        <f t="shared" si="20"/>
        <v>5</v>
      </c>
      <c r="Y122" s="2">
        <f t="shared" si="20"/>
        <v>3</v>
      </c>
      <c r="Z122" s="2">
        <f t="shared" si="20"/>
        <v>5</v>
      </c>
      <c r="AA122" s="2">
        <f t="shared" si="20"/>
        <v>4</v>
      </c>
      <c r="AB122" s="2">
        <f t="shared" si="20"/>
        <v>6</v>
      </c>
      <c r="AC122" s="2">
        <f t="shared" si="20"/>
        <v>4</v>
      </c>
      <c r="AD122" s="2">
        <f t="shared" si="20"/>
        <v>7</v>
      </c>
      <c r="AE122" s="2">
        <f t="shared" si="20"/>
        <v>3</v>
      </c>
      <c r="AF122" s="2">
        <f t="shared" si="20"/>
        <v>5</v>
      </c>
      <c r="AG122" s="2">
        <f t="shared" si="20"/>
        <v>3</v>
      </c>
      <c r="AH122" s="2">
        <f t="shared" si="20"/>
        <v>10</v>
      </c>
      <c r="AI122" s="2">
        <f t="shared" ref="AI122:BD122" si="21">SUM(AI112:AI121)</f>
        <v>3</v>
      </c>
      <c r="AJ122" s="2">
        <f t="shared" si="21"/>
        <v>5</v>
      </c>
      <c r="AK122" s="2">
        <f t="shared" si="21"/>
        <v>6</v>
      </c>
      <c r="AL122" s="2">
        <f t="shared" si="21"/>
        <v>4</v>
      </c>
      <c r="AM122" s="2">
        <f t="shared" si="21"/>
        <v>10</v>
      </c>
      <c r="AN122" s="2">
        <f t="shared" si="21"/>
        <v>7</v>
      </c>
      <c r="AO122" s="2">
        <f t="shared" si="21"/>
        <v>4</v>
      </c>
      <c r="AP122" s="2">
        <f t="shared" si="21"/>
        <v>9</v>
      </c>
      <c r="AQ122" s="2">
        <f t="shared" si="21"/>
        <v>19</v>
      </c>
      <c r="AR122" s="2">
        <f t="shared" si="21"/>
        <v>28</v>
      </c>
      <c r="AS122" s="2">
        <f t="shared" si="21"/>
        <v>87</v>
      </c>
      <c r="AT122" s="2">
        <f t="shared" si="21"/>
        <v>151</v>
      </c>
      <c r="AU122" s="2">
        <f t="shared" si="21"/>
        <v>317</v>
      </c>
      <c r="AV122" s="2">
        <f t="shared" si="21"/>
        <v>547</v>
      </c>
      <c r="AW122" s="2">
        <f t="shared" si="21"/>
        <v>518</v>
      </c>
      <c r="AX122" s="2">
        <f t="shared" si="21"/>
        <v>368</v>
      </c>
      <c r="AY122" s="2">
        <f t="shared" si="21"/>
        <v>292</v>
      </c>
      <c r="AZ122" s="2">
        <f t="shared" si="21"/>
        <v>139</v>
      </c>
      <c r="BA122" s="2">
        <f t="shared" si="21"/>
        <v>79</v>
      </c>
      <c r="BB122" s="2">
        <f t="shared" si="21"/>
        <v>32</v>
      </c>
      <c r="BC122" s="2">
        <f t="shared" si="21"/>
        <v>16</v>
      </c>
      <c r="BD122" s="2">
        <f t="shared" si="21"/>
        <v>2</v>
      </c>
    </row>
    <row r="123" spans="1:255" ht="16.5" customHeight="1">
      <c r="A123" s="4" t="s">
        <v>66</v>
      </c>
      <c r="B123" s="4">
        <v>2016</v>
      </c>
      <c r="C123" s="4">
        <v>117</v>
      </c>
      <c r="D123" s="5">
        <v>0</v>
      </c>
      <c r="E123" s="4">
        <v>0</v>
      </c>
      <c r="F123" s="4">
        <v>0</v>
      </c>
      <c r="G123" s="4">
        <v>0</v>
      </c>
      <c r="H123" s="4">
        <v>0</v>
      </c>
      <c r="I123" s="4">
        <v>2</v>
      </c>
      <c r="J123" s="4">
        <v>1</v>
      </c>
      <c r="K123" s="4">
        <v>3</v>
      </c>
      <c r="L123" s="4">
        <v>3</v>
      </c>
      <c r="M123" s="4">
        <v>0</v>
      </c>
      <c r="N123" s="4">
        <v>1</v>
      </c>
      <c r="O123" s="4">
        <v>0</v>
      </c>
      <c r="P123" s="4">
        <v>1</v>
      </c>
      <c r="Q123" s="4">
        <v>2</v>
      </c>
      <c r="R123" s="4">
        <v>0</v>
      </c>
      <c r="S123" s="4">
        <v>0</v>
      </c>
      <c r="T123" s="4">
        <v>2</v>
      </c>
      <c r="U123" s="4">
        <v>0</v>
      </c>
      <c r="V123" s="4">
        <v>0</v>
      </c>
      <c r="W123" s="4">
        <v>1</v>
      </c>
      <c r="X123" s="4">
        <v>5</v>
      </c>
      <c r="Y123" s="4">
        <v>1</v>
      </c>
      <c r="Z123" s="4">
        <v>0</v>
      </c>
      <c r="AA123" s="4">
        <v>4</v>
      </c>
      <c r="AB123" s="4">
        <v>1</v>
      </c>
      <c r="AC123" s="4">
        <v>1</v>
      </c>
      <c r="AD123" s="4">
        <v>0</v>
      </c>
      <c r="AE123" s="4">
        <v>0</v>
      </c>
      <c r="AF123" s="4">
        <v>1</v>
      </c>
      <c r="AG123" s="4">
        <v>0</v>
      </c>
      <c r="AH123" s="4">
        <v>3</v>
      </c>
      <c r="AI123" s="4">
        <v>0</v>
      </c>
      <c r="AJ123" s="4">
        <v>1</v>
      </c>
      <c r="AK123" s="4">
        <v>0</v>
      </c>
      <c r="AL123" s="4">
        <v>0</v>
      </c>
      <c r="AM123" s="4">
        <v>0</v>
      </c>
      <c r="AN123" s="4">
        <v>1</v>
      </c>
      <c r="AO123" s="4">
        <v>0</v>
      </c>
      <c r="AP123" s="4">
        <v>0</v>
      </c>
      <c r="AQ123" s="4">
        <v>1</v>
      </c>
      <c r="AR123" s="4">
        <v>1</v>
      </c>
      <c r="AS123" s="4">
        <v>4</v>
      </c>
      <c r="AT123" s="4">
        <v>3</v>
      </c>
      <c r="AU123" s="4">
        <v>6</v>
      </c>
      <c r="AV123" s="4">
        <v>18</v>
      </c>
      <c r="AW123" s="4">
        <v>17</v>
      </c>
      <c r="AX123" s="4">
        <v>14</v>
      </c>
      <c r="AY123" s="4">
        <v>10</v>
      </c>
      <c r="AZ123" s="4">
        <v>2</v>
      </c>
      <c r="BA123" s="4">
        <v>6</v>
      </c>
      <c r="BB123" s="4">
        <v>1</v>
      </c>
      <c r="BC123" s="4">
        <v>0</v>
      </c>
      <c r="BD123" s="4">
        <v>0</v>
      </c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  <c r="EM123" s="4"/>
      <c r="EN123" s="4"/>
      <c r="EO123" s="4"/>
      <c r="EP123" s="4"/>
      <c r="EQ123" s="4"/>
      <c r="ER123" s="4"/>
      <c r="ES123" s="4"/>
      <c r="ET123" s="4"/>
      <c r="EU123" s="4"/>
      <c r="EV123" s="4"/>
      <c r="EW123" s="4"/>
      <c r="EX123" s="4"/>
      <c r="EY123" s="4"/>
      <c r="EZ123" s="4"/>
      <c r="FA123" s="4"/>
      <c r="FB123" s="4"/>
      <c r="FC123" s="4"/>
      <c r="FD123" s="4"/>
      <c r="FE123" s="4"/>
      <c r="FF123" s="4"/>
      <c r="FG123" s="4"/>
      <c r="FH123" s="4"/>
      <c r="FI123" s="4"/>
      <c r="FJ123" s="4"/>
      <c r="FK123" s="4"/>
      <c r="FL123" s="4"/>
      <c r="FM123" s="4"/>
      <c r="FN123" s="4"/>
      <c r="FO123" s="4"/>
      <c r="FP123" s="4"/>
      <c r="FQ123" s="4"/>
      <c r="FR123" s="4"/>
      <c r="FS123" s="4"/>
      <c r="FT123" s="4"/>
      <c r="FU123" s="4"/>
      <c r="FV123" s="4"/>
      <c r="FW123" s="4"/>
      <c r="FX123" s="4"/>
      <c r="FY123" s="4"/>
      <c r="FZ123" s="4"/>
      <c r="GA123" s="4"/>
      <c r="GB123" s="4"/>
      <c r="GC123" s="4"/>
      <c r="GD123" s="4"/>
      <c r="GE123" s="4"/>
      <c r="GF123" s="4"/>
      <c r="GG123" s="4"/>
      <c r="GH123" s="4"/>
      <c r="GI123" s="4"/>
      <c r="GJ123" s="4"/>
      <c r="GK123" s="4"/>
      <c r="GL123" s="4"/>
      <c r="GM123" s="4"/>
      <c r="GN123" s="4"/>
      <c r="GO123" s="4"/>
      <c r="GP123" s="4"/>
      <c r="GQ123" s="4"/>
      <c r="GR123" s="4"/>
      <c r="GS123" s="4"/>
      <c r="GT123" s="4"/>
      <c r="GU123" s="4"/>
      <c r="GV123" s="4"/>
      <c r="GW123" s="4"/>
      <c r="GX123" s="4"/>
      <c r="GY123" s="4"/>
      <c r="GZ123" s="4"/>
      <c r="HA123" s="4"/>
      <c r="HB123" s="4"/>
      <c r="HC123" s="4"/>
      <c r="HD123" s="4"/>
      <c r="HE123" s="4"/>
      <c r="HF123" s="4"/>
      <c r="HG123" s="4"/>
      <c r="HH123" s="4"/>
      <c r="HI123" s="4"/>
      <c r="HJ123" s="4"/>
      <c r="HK123" s="4"/>
      <c r="HL123" s="4"/>
      <c r="HM123" s="4"/>
      <c r="HN123" s="4"/>
      <c r="HO123" s="4"/>
      <c r="HP123" s="4"/>
      <c r="HQ123" s="4"/>
      <c r="HR123" s="4"/>
      <c r="HS123" s="4"/>
      <c r="HT123" s="4"/>
      <c r="HU123" s="4"/>
      <c r="HV123" s="4"/>
      <c r="HW123" s="4"/>
      <c r="HX123" s="4"/>
      <c r="HY123" s="4"/>
      <c r="HZ123" s="4"/>
      <c r="IA123" s="4"/>
      <c r="IB123" s="4"/>
      <c r="IC123" s="4"/>
      <c r="ID123" s="4"/>
      <c r="IE123" s="4"/>
      <c r="IF123" s="4"/>
      <c r="IG123" s="4"/>
      <c r="IH123" s="4"/>
      <c r="II123" s="4"/>
      <c r="IJ123" s="4"/>
      <c r="IK123" s="4"/>
      <c r="IL123" s="4"/>
      <c r="IM123" s="4"/>
      <c r="IN123" s="4"/>
      <c r="IO123" s="4"/>
      <c r="IP123" s="4"/>
      <c r="IQ123" s="4"/>
      <c r="IR123" s="4"/>
      <c r="IS123" s="4"/>
      <c r="IT123" s="4"/>
      <c r="IU123" s="4"/>
    </row>
    <row r="124" spans="1:255" ht="16.5" customHeight="1">
      <c r="A124" s="1" t="s">
        <v>66</v>
      </c>
      <c r="B124" s="1">
        <v>2017</v>
      </c>
      <c r="C124" s="1">
        <v>91</v>
      </c>
      <c r="D124" s="1">
        <v>0</v>
      </c>
      <c r="E124" s="1">
        <v>0</v>
      </c>
      <c r="F124" s="1">
        <v>1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2</v>
      </c>
      <c r="U124" s="1">
        <v>0</v>
      </c>
      <c r="V124" s="1">
        <v>0</v>
      </c>
      <c r="W124" s="1">
        <v>0</v>
      </c>
      <c r="X124" s="1">
        <v>1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1</v>
      </c>
      <c r="AG124" s="1">
        <v>0</v>
      </c>
      <c r="AH124" s="1">
        <v>0</v>
      </c>
      <c r="AI124" s="1">
        <v>1</v>
      </c>
      <c r="AJ124" s="1">
        <v>0</v>
      </c>
      <c r="AK124" s="1">
        <v>0</v>
      </c>
      <c r="AL124" s="1">
        <v>0</v>
      </c>
      <c r="AM124" s="1">
        <v>0</v>
      </c>
      <c r="AN124" s="1">
        <v>1</v>
      </c>
      <c r="AO124" s="1">
        <v>2</v>
      </c>
      <c r="AP124" s="1">
        <v>1</v>
      </c>
      <c r="AQ124" s="1">
        <v>0</v>
      </c>
      <c r="AR124" s="1">
        <v>3</v>
      </c>
      <c r="AS124" s="1">
        <v>5</v>
      </c>
      <c r="AT124" s="1">
        <v>19</v>
      </c>
      <c r="AU124" s="1">
        <v>14</v>
      </c>
      <c r="AV124" s="1">
        <v>15</v>
      </c>
      <c r="AW124" s="1">
        <v>7</v>
      </c>
      <c r="AX124" s="1">
        <v>7</v>
      </c>
      <c r="AY124" s="1">
        <v>4</v>
      </c>
      <c r="AZ124" s="1">
        <v>4</v>
      </c>
      <c r="BA124" s="1">
        <v>2</v>
      </c>
      <c r="BB124" s="1">
        <v>0</v>
      </c>
      <c r="BC124" s="1">
        <v>1</v>
      </c>
    </row>
    <row r="125" spans="1:255" ht="16.5" customHeight="1">
      <c r="A125" s="1" t="s">
        <v>66</v>
      </c>
      <c r="B125" s="1">
        <v>2018</v>
      </c>
      <c r="C125" s="1">
        <v>68</v>
      </c>
      <c r="D125" s="1">
        <v>1</v>
      </c>
      <c r="E125" s="1">
        <v>0</v>
      </c>
      <c r="F125" s="1">
        <v>0</v>
      </c>
      <c r="G125" s="1">
        <v>1</v>
      </c>
      <c r="H125" s="1">
        <v>1</v>
      </c>
      <c r="I125" s="1">
        <v>0</v>
      </c>
      <c r="J125" s="1">
        <v>1</v>
      </c>
      <c r="K125" s="1">
        <v>0</v>
      </c>
      <c r="L125" s="1">
        <v>0</v>
      </c>
      <c r="M125" s="1">
        <v>0</v>
      </c>
      <c r="N125" s="1">
        <v>1</v>
      </c>
      <c r="O125" s="1">
        <v>0</v>
      </c>
      <c r="P125" s="1">
        <v>0</v>
      </c>
      <c r="Q125" s="1">
        <v>0</v>
      </c>
      <c r="R125" s="1">
        <v>1</v>
      </c>
      <c r="S125" s="1">
        <v>0</v>
      </c>
      <c r="T125" s="1">
        <v>4</v>
      </c>
      <c r="U125" s="1">
        <v>0</v>
      </c>
      <c r="V125" s="1">
        <v>0</v>
      </c>
      <c r="W125" s="1">
        <v>1</v>
      </c>
      <c r="X125" s="1">
        <v>0</v>
      </c>
      <c r="Y125" s="1">
        <v>0</v>
      </c>
      <c r="Z125" s="1">
        <v>2</v>
      </c>
      <c r="AA125" s="1">
        <v>0</v>
      </c>
      <c r="AB125" s="1">
        <v>1</v>
      </c>
      <c r="AC125" s="1">
        <v>2</v>
      </c>
      <c r="AD125" s="1">
        <v>1</v>
      </c>
      <c r="AE125" s="1">
        <v>1</v>
      </c>
      <c r="AF125" s="1">
        <v>1</v>
      </c>
      <c r="AG125" s="1">
        <v>0</v>
      </c>
      <c r="AH125" s="1">
        <v>0</v>
      </c>
      <c r="AI125" s="1">
        <v>0</v>
      </c>
      <c r="AJ125" s="1">
        <v>0</v>
      </c>
      <c r="AK125" s="1">
        <v>1</v>
      </c>
      <c r="AL125" s="1">
        <v>1</v>
      </c>
      <c r="AM125" s="1">
        <v>0</v>
      </c>
      <c r="AN125" s="1">
        <v>4</v>
      </c>
      <c r="AO125" s="1">
        <v>0</v>
      </c>
      <c r="AP125" s="1">
        <v>0</v>
      </c>
      <c r="AQ125" s="1">
        <v>0</v>
      </c>
      <c r="AR125" s="1">
        <v>2</v>
      </c>
      <c r="AS125" s="1">
        <v>3</v>
      </c>
      <c r="AT125" s="1">
        <v>5</v>
      </c>
      <c r="AU125" s="1">
        <v>13</v>
      </c>
      <c r="AV125" s="1">
        <v>12</v>
      </c>
      <c r="AW125" s="1">
        <v>4</v>
      </c>
      <c r="AX125" s="1">
        <v>1</v>
      </c>
      <c r="AY125" s="1">
        <v>2</v>
      </c>
      <c r="AZ125" s="1">
        <v>1</v>
      </c>
      <c r="BA125" s="1">
        <v>0</v>
      </c>
      <c r="BB125" s="1">
        <v>0</v>
      </c>
      <c r="BC125" s="1">
        <v>0</v>
      </c>
    </row>
    <row r="126" spans="1:255" ht="16.5" customHeight="1">
      <c r="A126" s="1" t="s">
        <v>66</v>
      </c>
      <c r="B126" s="1">
        <v>2019</v>
      </c>
      <c r="C126" s="1">
        <v>49</v>
      </c>
      <c r="D126" s="1">
        <v>1</v>
      </c>
      <c r="E126" s="1">
        <v>0</v>
      </c>
      <c r="F126" s="1">
        <v>0</v>
      </c>
      <c r="G126" s="1">
        <v>1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2</v>
      </c>
      <c r="Q126" s="1">
        <v>0</v>
      </c>
      <c r="R126" s="1">
        <v>1</v>
      </c>
      <c r="S126" s="1">
        <v>0</v>
      </c>
      <c r="T126" s="1">
        <v>1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1</v>
      </c>
      <c r="AB126" s="1">
        <v>0</v>
      </c>
      <c r="AC126" s="1">
        <v>0</v>
      </c>
      <c r="AD126" s="1">
        <v>0</v>
      </c>
      <c r="AE126" s="1">
        <v>1</v>
      </c>
      <c r="AF126" s="1">
        <v>0</v>
      </c>
      <c r="AG126" s="1">
        <v>1</v>
      </c>
      <c r="AH126" s="1">
        <v>1</v>
      </c>
      <c r="AI126" s="1">
        <v>0</v>
      </c>
      <c r="AJ126" s="1">
        <v>0</v>
      </c>
      <c r="AK126" s="1">
        <v>1</v>
      </c>
      <c r="AL126" s="1">
        <v>1</v>
      </c>
      <c r="AM126" s="1">
        <v>2</v>
      </c>
      <c r="AN126" s="1">
        <v>0</v>
      </c>
      <c r="AO126" s="1">
        <v>0</v>
      </c>
      <c r="AP126" s="1">
        <v>1</v>
      </c>
      <c r="AQ126" s="1">
        <v>1</v>
      </c>
      <c r="AR126" s="1">
        <v>0</v>
      </c>
      <c r="AS126" s="1">
        <v>2</v>
      </c>
      <c r="AT126" s="1">
        <v>0</v>
      </c>
      <c r="AU126" s="1">
        <v>1</v>
      </c>
      <c r="AV126" s="1">
        <v>7</v>
      </c>
      <c r="AW126" s="1">
        <v>11</v>
      </c>
      <c r="AX126" s="1">
        <v>5</v>
      </c>
      <c r="AY126" s="1">
        <v>6</v>
      </c>
      <c r="AZ126" s="1">
        <v>1</v>
      </c>
      <c r="BA126" s="1">
        <v>0</v>
      </c>
      <c r="BB126" s="1">
        <v>0</v>
      </c>
      <c r="BC126" s="1">
        <v>0</v>
      </c>
    </row>
    <row r="127" spans="1:255" ht="16.5" customHeight="1">
      <c r="A127" s="1" t="s">
        <v>66</v>
      </c>
      <c r="B127" s="1">
        <v>2020</v>
      </c>
      <c r="C127" s="1">
        <v>33</v>
      </c>
      <c r="D127" s="1">
        <v>0</v>
      </c>
      <c r="E127" s="1">
        <v>1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1</v>
      </c>
      <c r="Z127" s="1">
        <v>1</v>
      </c>
      <c r="AA127" s="1">
        <v>0</v>
      </c>
      <c r="AB127" s="1">
        <v>0</v>
      </c>
      <c r="AC127" s="1">
        <v>0</v>
      </c>
      <c r="AD127" s="1">
        <v>0</v>
      </c>
      <c r="AE127" s="1">
        <v>1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1</v>
      </c>
      <c r="AL127" s="1">
        <v>0</v>
      </c>
      <c r="AM127" s="1">
        <v>0</v>
      </c>
      <c r="AN127" s="1">
        <v>0</v>
      </c>
      <c r="AO127" s="1">
        <v>0</v>
      </c>
      <c r="AP127" s="1">
        <v>1</v>
      </c>
      <c r="AQ127" s="1">
        <v>0</v>
      </c>
      <c r="AR127" s="1">
        <v>1</v>
      </c>
      <c r="AS127" s="1">
        <v>0</v>
      </c>
      <c r="AT127" s="1">
        <v>3</v>
      </c>
      <c r="AU127" s="1">
        <v>2</v>
      </c>
      <c r="AV127" s="1">
        <v>7</v>
      </c>
      <c r="AW127" s="1">
        <v>6</v>
      </c>
      <c r="AX127" s="1">
        <v>2</v>
      </c>
      <c r="AY127" s="1">
        <v>1</v>
      </c>
      <c r="AZ127" s="1">
        <v>3</v>
      </c>
      <c r="BA127" s="1">
        <v>1</v>
      </c>
      <c r="BB127" s="1">
        <v>1</v>
      </c>
      <c r="BC127" s="1">
        <v>0</v>
      </c>
    </row>
    <row r="128" spans="1:255" ht="16.5" customHeight="1">
      <c r="A128" s="1" t="s">
        <v>66</v>
      </c>
      <c r="B128" s="1">
        <v>2021</v>
      </c>
      <c r="C128" s="1">
        <v>58</v>
      </c>
      <c r="D128" s="1">
        <v>0</v>
      </c>
      <c r="E128" s="1">
        <v>2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1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2</v>
      </c>
      <c r="X128" s="1">
        <v>1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1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1</v>
      </c>
      <c r="AS128" s="1">
        <v>2</v>
      </c>
      <c r="AT128" s="1">
        <v>4</v>
      </c>
      <c r="AU128" s="1">
        <v>6</v>
      </c>
      <c r="AV128" s="1">
        <v>6</v>
      </c>
      <c r="AW128" s="1">
        <v>10</v>
      </c>
      <c r="AX128" s="1">
        <v>12</v>
      </c>
      <c r="AY128" s="1">
        <v>7</v>
      </c>
      <c r="AZ128" s="1">
        <v>1</v>
      </c>
      <c r="BA128" s="1">
        <v>2</v>
      </c>
      <c r="BB128" s="1">
        <v>0</v>
      </c>
      <c r="BC128" s="1">
        <v>0</v>
      </c>
    </row>
    <row r="129" spans="1:255" ht="16.5" customHeight="1">
      <c r="A129" s="1" t="s">
        <v>66</v>
      </c>
      <c r="B129" s="1">
        <v>2022</v>
      </c>
      <c r="C129" s="1">
        <v>66</v>
      </c>
      <c r="D129" s="1">
        <v>0</v>
      </c>
      <c r="E129" s="1">
        <v>1</v>
      </c>
      <c r="F129" s="1">
        <v>0</v>
      </c>
      <c r="G129" s="1">
        <v>2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1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1</v>
      </c>
      <c r="V129" s="1">
        <v>0</v>
      </c>
      <c r="W129" s="1">
        <v>0</v>
      </c>
      <c r="X129" s="1">
        <v>1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1</v>
      </c>
      <c r="AE129" s="1">
        <v>1</v>
      </c>
      <c r="AF129" s="1">
        <v>0</v>
      </c>
      <c r="AG129" s="1">
        <v>0</v>
      </c>
      <c r="AH129" s="1">
        <v>1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1</v>
      </c>
      <c r="AP129" s="1">
        <v>0</v>
      </c>
      <c r="AQ129" s="1">
        <v>1</v>
      </c>
      <c r="AR129" s="1">
        <v>0</v>
      </c>
      <c r="AS129" s="1">
        <v>0</v>
      </c>
      <c r="AT129" s="1">
        <v>4</v>
      </c>
      <c r="AU129" s="1">
        <v>7</v>
      </c>
      <c r="AV129" s="1">
        <v>7</v>
      </c>
      <c r="AW129" s="1">
        <v>15</v>
      </c>
      <c r="AX129" s="1">
        <v>11</v>
      </c>
      <c r="AY129" s="1">
        <v>6</v>
      </c>
      <c r="AZ129" s="1">
        <v>2</v>
      </c>
      <c r="BA129" s="1">
        <v>1</v>
      </c>
      <c r="BB129" s="1">
        <v>1</v>
      </c>
      <c r="BC129" s="1">
        <v>1</v>
      </c>
    </row>
    <row r="130" spans="1:255" ht="16.5" customHeight="1">
      <c r="A130" s="1" t="s">
        <v>66</v>
      </c>
      <c r="B130" s="1">
        <v>2023</v>
      </c>
      <c r="C130" s="1">
        <v>65</v>
      </c>
      <c r="D130" s="1">
        <v>0</v>
      </c>
      <c r="E130" s="1">
        <v>0</v>
      </c>
      <c r="F130" s="1">
        <v>0</v>
      </c>
      <c r="G130" s="1">
        <v>1</v>
      </c>
      <c r="H130" s="1">
        <v>1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1</v>
      </c>
      <c r="AB130" s="1">
        <v>0</v>
      </c>
      <c r="AC130" s="1">
        <v>0</v>
      </c>
      <c r="AD130" s="1">
        <v>0</v>
      </c>
      <c r="AE130" s="1">
        <v>1</v>
      </c>
      <c r="AF130" s="1">
        <v>0</v>
      </c>
      <c r="AG130" s="1">
        <v>1</v>
      </c>
      <c r="AH130" s="1">
        <v>0</v>
      </c>
      <c r="AI130" s="1">
        <v>0</v>
      </c>
      <c r="AJ130" s="1">
        <v>1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1</v>
      </c>
      <c r="AS130" s="1">
        <v>2</v>
      </c>
      <c r="AT130" s="1">
        <v>5</v>
      </c>
      <c r="AU130" s="1">
        <v>14</v>
      </c>
      <c r="AV130" s="1">
        <v>8</v>
      </c>
      <c r="AW130" s="1">
        <v>7</v>
      </c>
      <c r="AX130" s="1">
        <v>13</v>
      </c>
      <c r="AY130" s="1">
        <v>7</v>
      </c>
      <c r="AZ130" s="1">
        <v>0</v>
      </c>
      <c r="BA130" s="1">
        <v>1</v>
      </c>
      <c r="BB130" s="1">
        <v>1</v>
      </c>
      <c r="BC130" s="1">
        <v>0</v>
      </c>
    </row>
    <row r="131" spans="1:255" ht="16.5" customHeight="1">
      <c r="A131" s="1" t="s">
        <v>66</v>
      </c>
      <c r="B131" s="1">
        <v>2024</v>
      </c>
      <c r="C131" s="1">
        <v>66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1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1</v>
      </c>
      <c r="AC131" s="1">
        <v>0</v>
      </c>
      <c r="AD131" s="1">
        <v>1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5</v>
      </c>
      <c r="AU131" s="1">
        <v>6</v>
      </c>
      <c r="AV131" s="1">
        <v>10</v>
      </c>
      <c r="AW131" s="1">
        <v>9</v>
      </c>
      <c r="AX131" s="1">
        <v>12</v>
      </c>
      <c r="AY131" s="1">
        <v>10</v>
      </c>
      <c r="AZ131" s="1">
        <v>5</v>
      </c>
      <c r="BA131" s="1">
        <v>6</v>
      </c>
      <c r="BB131" s="1">
        <v>0</v>
      </c>
      <c r="BC131" s="1">
        <v>0</v>
      </c>
    </row>
    <row r="132" spans="1:255" ht="16.5" customHeight="1">
      <c r="A132" s="1" t="s">
        <v>66</v>
      </c>
      <c r="B132" s="1">
        <v>2025</v>
      </c>
      <c r="C132" s="1">
        <v>56</v>
      </c>
      <c r="D132" s="1">
        <v>1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3</v>
      </c>
      <c r="AT132" s="1">
        <v>0</v>
      </c>
      <c r="AU132" s="1">
        <v>3</v>
      </c>
      <c r="AV132" s="1">
        <v>4</v>
      </c>
      <c r="AW132" s="1">
        <v>10</v>
      </c>
      <c r="AX132" s="1">
        <v>14</v>
      </c>
      <c r="AY132" s="1">
        <v>10</v>
      </c>
      <c r="AZ132" s="1">
        <v>8</v>
      </c>
      <c r="BA132" s="1">
        <v>1</v>
      </c>
      <c r="BB132" s="1">
        <v>0</v>
      </c>
      <c r="BC132" s="1">
        <v>2</v>
      </c>
    </row>
    <row r="133" spans="1:255" ht="16.5" customHeight="1">
      <c r="A133" s="2" t="s">
        <v>2</v>
      </c>
      <c r="B133" s="2"/>
      <c r="C133" s="2">
        <f t="shared" ref="C133:AH133" si="22">SUM(C123:C132)</f>
        <v>669</v>
      </c>
      <c r="D133" s="2">
        <f t="shared" si="22"/>
        <v>3</v>
      </c>
      <c r="E133" s="2">
        <f t="shared" si="22"/>
        <v>4</v>
      </c>
      <c r="F133" s="2">
        <f t="shared" si="22"/>
        <v>1</v>
      </c>
      <c r="G133" s="2">
        <f t="shared" si="22"/>
        <v>5</v>
      </c>
      <c r="H133" s="2">
        <f t="shared" si="22"/>
        <v>2</v>
      </c>
      <c r="I133" s="2">
        <f t="shared" si="22"/>
        <v>2</v>
      </c>
      <c r="J133" s="2">
        <f t="shared" si="22"/>
        <v>2</v>
      </c>
      <c r="K133" s="2">
        <f t="shared" si="22"/>
        <v>3</v>
      </c>
      <c r="L133" s="2">
        <f t="shared" si="22"/>
        <v>3</v>
      </c>
      <c r="M133" s="2">
        <f t="shared" si="22"/>
        <v>1</v>
      </c>
      <c r="N133" s="2">
        <f t="shared" si="22"/>
        <v>3</v>
      </c>
      <c r="O133" s="2">
        <f t="shared" si="22"/>
        <v>0</v>
      </c>
      <c r="P133" s="2">
        <f t="shared" si="22"/>
        <v>3</v>
      </c>
      <c r="Q133" s="2">
        <f t="shared" si="22"/>
        <v>2</v>
      </c>
      <c r="R133" s="2">
        <f t="shared" si="22"/>
        <v>2</v>
      </c>
      <c r="S133" s="2">
        <f t="shared" si="22"/>
        <v>0</v>
      </c>
      <c r="T133" s="2">
        <f t="shared" si="22"/>
        <v>10</v>
      </c>
      <c r="U133" s="2">
        <f t="shared" si="22"/>
        <v>1</v>
      </c>
      <c r="V133" s="2">
        <f t="shared" si="22"/>
        <v>0</v>
      </c>
      <c r="W133" s="2">
        <f t="shared" si="22"/>
        <v>4</v>
      </c>
      <c r="X133" s="2">
        <f t="shared" si="22"/>
        <v>8</v>
      </c>
      <c r="Y133" s="2">
        <f t="shared" si="22"/>
        <v>2</v>
      </c>
      <c r="Z133" s="2">
        <f t="shared" si="22"/>
        <v>3</v>
      </c>
      <c r="AA133" s="2">
        <f t="shared" si="22"/>
        <v>6</v>
      </c>
      <c r="AB133" s="2">
        <f t="shared" si="22"/>
        <v>3</v>
      </c>
      <c r="AC133" s="2">
        <f t="shared" si="22"/>
        <v>3</v>
      </c>
      <c r="AD133" s="2">
        <f t="shared" si="22"/>
        <v>3</v>
      </c>
      <c r="AE133" s="2">
        <f t="shared" si="22"/>
        <v>5</v>
      </c>
      <c r="AF133" s="2">
        <f t="shared" si="22"/>
        <v>3</v>
      </c>
      <c r="AG133" s="2">
        <f t="shared" si="22"/>
        <v>2</v>
      </c>
      <c r="AH133" s="2">
        <f t="shared" si="22"/>
        <v>5</v>
      </c>
      <c r="AI133" s="2">
        <f t="shared" ref="AI133:BD133" si="23">SUM(AI123:AI132)</f>
        <v>2</v>
      </c>
      <c r="AJ133" s="2">
        <f t="shared" si="23"/>
        <v>2</v>
      </c>
      <c r="AK133" s="2">
        <f t="shared" si="23"/>
        <v>3</v>
      </c>
      <c r="AL133" s="2">
        <f t="shared" si="23"/>
        <v>2</v>
      </c>
      <c r="AM133" s="2">
        <f t="shared" si="23"/>
        <v>2</v>
      </c>
      <c r="AN133" s="2">
        <f t="shared" si="23"/>
        <v>6</v>
      </c>
      <c r="AO133" s="2">
        <f t="shared" si="23"/>
        <v>3</v>
      </c>
      <c r="AP133" s="2">
        <f t="shared" si="23"/>
        <v>3</v>
      </c>
      <c r="AQ133" s="2">
        <f t="shared" si="23"/>
        <v>3</v>
      </c>
      <c r="AR133" s="2">
        <f t="shared" si="23"/>
        <v>9</v>
      </c>
      <c r="AS133" s="2">
        <f t="shared" si="23"/>
        <v>21</v>
      </c>
      <c r="AT133" s="2">
        <f t="shared" si="23"/>
        <v>48</v>
      </c>
      <c r="AU133" s="2">
        <f t="shared" si="23"/>
        <v>72</v>
      </c>
      <c r="AV133" s="2">
        <f t="shared" si="23"/>
        <v>94</v>
      </c>
      <c r="AW133" s="2">
        <f t="shared" si="23"/>
        <v>96</v>
      </c>
      <c r="AX133" s="2">
        <f t="shared" si="23"/>
        <v>91</v>
      </c>
      <c r="AY133" s="2">
        <f t="shared" si="23"/>
        <v>63</v>
      </c>
      <c r="AZ133" s="2">
        <f t="shared" si="23"/>
        <v>27</v>
      </c>
      <c r="BA133" s="2">
        <f t="shared" si="23"/>
        <v>20</v>
      </c>
      <c r="BB133" s="2">
        <f t="shared" si="23"/>
        <v>4</v>
      </c>
      <c r="BC133" s="2">
        <f t="shared" si="23"/>
        <v>4</v>
      </c>
      <c r="BD133" s="2">
        <f t="shared" si="23"/>
        <v>0</v>
      </c>
    </row>
    <row r="134" spans="1:255" ht="16.5" customHeight="1">
      <c r="A134" s="4" t="s">
        <v>67</v>
      </c>
      <c r="B134" s="4">
        <v>2016</v>
      </c>
      <c r="C134" s="4">
        <v>11126</v>
      </c>
      <c r="D134" s="5">
        <v>23</v>
      </c>
      <c r="E134" s="4">
        <v>26</v>
      </c>
      <c r="F134" s="4">
        <v>11</v>
      </c>
      <c r="G134" s="4">
        <v>21</v>
      </c>
      <c r="H134" s="4">
        <v>21</v>
      </c>
      <c r="I134" s="4">
        <v>11</v>
      </c>
      <c r="J134" s="4">
        <v>12</v>
      </c>
      <c r="K134" s="4">
        <v>20</v>
      </c>
      <c r="L134" s="4">
        <v>22</v>
      </c>
      <c r="M134" s="4">
        <v>7</v>
      </c>
      <c r="N134" s="4">
        <v>20</v>
      </c>
      <c r="O134" s="4">
        <v>18</v>
      </c>
      <c r="P134" s="4">
        <v>7</v>
      </c>
      <c r="Q134" s="4">
        <v>18</v>
      </c>
      <c r="R134" s="4">
        <v>10</v>
      </c>
      <c r="S134" s="4">
        <v>14</v>
      </c>
      <c r="T134" s="4">
        <v>39</v>
      </c>
      <c r="U134" s="4">
        <v>31</v>
      </c>
      <c r="V134" s="4">
        <v>25</v>
      </c>
      <c r="W134" s="4">
        <v>48</v>
      </c>
      <c r="X134" s="4">
        <v>45</v>
      </c>
      <c r="Y134" s="4">
        <v>47</v>
      </c>
      <c r="Z134" s="4">
        <v>52</v>
      </c>
      <c r="AA134" s="4">
        <v>44</v>
      </c>
      <c r="AB134" s="4">
        <v>42</v>
      </c>
      <c r="AC134" s="4">
        <v>53</v>
      </c>
      <c r="AD134" s="4">
        <v>45</v>
      </c>
      <c r="AE134" s="4">
        <v>16</v>
      </c>
      <c r="AF134" s="4">
        <v>17</v>
      </c>
      <c r="AG134" s="4">
        <v>29</v>
      </c>
      <c r="AH134" s="4">
        <v>28</v>
      </c>
      <c r="AI134" s="4">
        <v>11</v>
      </c>
      <c r="AJ134" s="4">
        <v>22</v>
      </c>
      <c r="AK134" s="4">
        <v>19</v>
      </c>
      <c r="AL134" s="4">
        <v>25</v>
      </c>
      <c r="AM134" s="4">
        <v>30</v>
      </c>
      <c r="AN134" s="4">
        <v>43</v>
      </c>
      <c r="AO134" s="4">
        <v>28</v>
      </c>
      <c r="AP134" s="4">
        <v>74</v>
      </c>
      <c r="AQ134" s="4">
        <v>78</v>
      </c>
      <c r="AR134" s="4">
        <v>103</v>
      </c>
      <c r="AS134" s="4">
        <v>274</v>
      </c>
      <c r="AT134" s="4">
        <v>397</v>
      </c>
      <c r="AU134" s="4">
        <v>873</v>
      </c>
      <c r="AV134" s="4">
        <v>2246</v>
      </c>
      <c r="AW134" s="4">
        <v>2568</v>
      </c>
      <c r="AX134" s="4">
        <v>1466</v>
      </c>
      <c r="AY134" s="4">
        <v>919</v>
      </c>
      <c r="AZ134" s="4">
        <v>627</v>
      </c>
      <c r="BA134" s="4">
        <v>291</v>
      </c>
      <c r="BB134" s="4">
        <v>132</v>
      </c>
      <c r="BC134" s="4">
        <v>52</v>
      </c>
      <c r="BD134" s="4">
        <v>26</v>
      </c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  <c r="EM134" s="4"/>
      <c r="EN134" s="4"/>
      <c r="EO134" s="4"/>
      <c r="EP134" s="4"/>
      <c r="EQ134" s="4"/>
      <c r="ER134" s="4"/>
      <c r="ES134" s="4"/>
      <c r="ET134" s="4"/>
      <c r="EU134" s="4"/>
      <c r="EV134" s="4"/>
      <c r="EW134" s="4"/>
      <c r="EX134" s="4"/>
      <c r="EY134" s="4"/>
      <c r="EZ134" s="4"/>
      <c r="FA134" s="4"/>
      <c r="FB134" s="4"/>
      <c r="FC134" s="4"/>
      <c r="FD134" s="4"/>
      <c r="FE134" s="4"/>
      <c r="FF134" s="4"/>
      <c r="FG134" s="4"/>
      <c r="FH134" s="4"/>
      <c r="FI134" s="4"/>
      <c r="FJ134" s="4"/>
      <c r="FK134" s="4"/>
      <c r="FL134" s="4"/>
      <c r="FM134" s="4"/>
      <c r="FN134" s="4"/>
      <c r="FO134" s="4"/>
      <c r="FP134" s="4"/>
      <c r="FQ134" s="4"/>
      <c r="FR134" s="4"/>
      <c r="FS134" s="4"/>
      <c r="FT134" s="4"/>
      <c r="FU134" s="4"/>
      <c r="FV134" s="4"/>
      <c r="FW134" s="4"/>
      <c r="FX134" s="4"/>
      <c r="FY134" s="4"/>
      <c r="FZ134" s="4"/>
      <c r="GA134" s="4"/>
      <c r="GB134" s="4"/>
      <c r="GC134" s="4"/>
      <c r="GD134" s="4"/>
      <c r="GE134" s="4"/>
      <c r="GF134" s="4"/>
      <c r="GG134" s="4"/>
      <c r="GH134" s="4"/>
      <c r="GI134" s="4"/>
      <c r="GJ134" s="4"/>
      <c r="GK134" s="4"/>
      <c r="GL134" s="4"/>
      <c r="GM134" s="4"/>
      <c r="GN134" s="4"/>
      <c r="GO134" s="4"/>
      <c r="GP134" s="4"/>
      <c r="GQ134" s="4"/>
      <c r="GR134" s="4"/>
      <c r="GS134" s="4"/>
      <c r="GT134" s="4"/>
      <c r="GU134" s="4"/>
      <c r="GV134" s="4"/>
      <c r="GW134" s="4"/>
      <c r="GX134" s="4"/>
      <c r="GY134" s="4"/>
      <c r="GZ134" s="4"/>
      <c r="HA134" s="4"/>
      <c r="HB134" s="4"/>
      <c r="HC134" s="4"/>
      <c r="HD134" s="4"/>
      <c r="HE134" s="4"/>
      <c r="HF134" s="4"/>
      <c r="HG134" s="4"/>
      <c r="HH134" s="4"/>
      <c r="HI134" s="4"/>
      <c r="HJ134" s="4"/>
      <c r="HK134" s="4"/>
      <c r="HL134" s="4"/>
      <c r="HM134" s="4"/>
      <c r="HN134" s="4"/>
      <c r="HO134" s="4"/>
      <c r="HP134" s="4"/>
      <c r="HQ134" s="4"/>
      <c r="HR134" s="4"/>
      <c r="HS134" s="4"/>
      <c r="HT134" s="4"/>
      <c r="HU134" s="4"/>
      <c r="HV134" s="4"/>
      <c r="HW134" s="4"/>
      <c r="HX134" s="4"/>
      <c r="HY134" s="4"/>
      <c r="HZ134" s="4"/>
      <c r="IA134" s="4"/>
      <c r="IB134" s="4"/>
      <c r="IC134" s="4"/>
      <c r="ID134" s="4"/>
      <c r="IE134" s="4"/>
      <c r="IF134" s="4"/>
      <c r="IG134" s="4"/>
      <c r="IH134" s="4"/>
      <c r="II134" s="4"/>
      <c r="IJ134" s="4"/>
      <c r="IK134" s="4"/>
      <c r="IL134" s="4"/>
      <c r="IM134" s="4"/>
      <c r="IN134" s="4"/>
      <c r="IO134" s="4"/>
      <c r="IP134" s="4"/>
      <c r="IQ134" s="4"/>
      <c r="IR134" s="4"/>
      <c r="IS134" s="4"/>
      <c r="IT134" s="4"/>
      <c r="IU134" s="4"/>
    </row>
    <row r="135" spans="1:255" ht="16.5" customHeight="1">
      <c r="A135" s="1" t="s">
        <v>67</v>
      </c>
      <c r="B135" s="1">
        <v>2017</v>
      </c>
      <c r="C135" s="1">
        <v>10526</v>
      </c>
      <c r="D135" s="1">
        <v>23</v>
      </c>
      <c r="E135" s="1">
        <v>14</v>
      </c>
      <c r="F135" s="1">
        <v>16</v>
      </c>
      <c r="G135" s="1">
        <v>9</v>
      </c>
      <c r="H135" s="1">
        <v>7</v>
      </c>
      <c r="I135" s="1">
        <v>5</v>
      </c>
      <c r="J135" s="1">
        <v>8</v>
      </c>
      <c r="K135" s="1">
        <v>6</v>
      </c>
      <c r="L135" s="1">
        <v>2</v>
      </c>
      <c r="M135" s="1">
        <v>4</v>
      </c>
      <c r="N135" s="1">
        <v>6</v>
      </c>
      <c r="O135" s="1">
        <v>10</v>
      </c>
      <c r="P135" s="1">
        <v>11</v>
      </c>
      <c r="Q135" s="1">
        <v>20</v>
      </c>
      <c r="R135" s="1">
        <v>17</v>
      </c>
      <c r="S135" s="1">
        <v>14</v>
      </c>
      <c r="T135" s="1">
        <v>29</v>
      </c>
      <c r="U135" s="1">
        <v>20</v>
      </c>
      <c r="V135" s="1">
        <v>55</v>
      </c>
      <c r="W135" s="1">
        <v>38</v>
      </c>
      <c r="X135" s="1">
        <v>27</v>
      </c>
      <c r="Y135" s="1">
        <v>42</v>
      </c>
      <c r="Z135" s="1">
        <v>31</v>
      </c>
      <c r="AA135" s="1">
        <v>46</v>
      </c>
      <c r="AB135" s="1">
        <v>43</v>
      </c>
      <c r="AC135" s="1">
        <v>45</v>
      </c>
      <c r="AD135" s="1">
        <v>47</v>
      </c>
      <c r="AE135" s="1">
        <v>44</v>
      </c>
      <c r="AF135" s="1">
        <v>44</v>
      </c>
      <c r="AG135" s="1">
        <v>34</v>
      </c>
      <c r="AH135" s="1">
        <v>40</v>
      </c>
      <c r="AI135" s="1">
        <v>32</v>
      </c>
      <c r="AJ135" s="1">
        <v>41</v>
      </c>
      <c r="AK135" s="1">
        <v>40</v>
      </c>
      <c r="AL135" s="1">
        <v>46</v>
      </c>
      <c r="AM135" s="1">
        <v>55</v>
      </c>
      <c r="AN135" s="1">
        <v>66</v>
      </c>
      <c r="AO135" s="1">
        <v>90</v>
      </c>
      <c r="AP135" s="1">
        <v>113</v>
      </c>
      <c r="AQ135" s="1">
        <v>103</v>
      </c>
      <c r="AR135" s="1">
        <v>365</v>
      </c>
      <c r="AS135" s="1">
        <v>785</v>
      </c>
      <c r="AT135" s="1">
        <v>1409</v>
      </c>
      <c r="AU135" s="1">
        <v>1492</v>
      </c>
      <c r="AV135" s="1">
        <v>1809</v>
      </c>
      <c r="AW135" s="1">
        <v>1575</v>
      </c>
      <c r="AX135" s="1">
        <v>870</v>
      </c>
      <c r="AY135" s="1">
        <v>456</v>
      </c>
      <c r="AZ135" s="1">
        <v>195</v>
      </c>
      <c r="BA135" s="1">
        <v>89</v>
      </c>
      <c r="BB135" s="1">
        <v>96</v>
      </c>
      <c r="BC135" s="1">
        <v>42</v>
      </c>
    </row>
    <row r="136" spans="1:255" ht="16.5" customHeight="1">
      <c r="A136" s="1" t="s">
        <v>67</v>
      </c>
      <c r="B136" s="1">
        <v>2018</v>
      </c>
      <c r="C136" s="1">
        <v>6668</v>
      </c>
      <c r="D136" s="1">
        <v>27</v>
      </c>
      <c r="E136" s="1">
        <v>27</v>
      </c>
      <c r="F136" s="1">
        <v>14</v>
      </c>
      <c r="G136" s="1">
        <v>16</v>
      </c>
      <c r="H136" s="1">
        <v>14</v>
      </c>
      <c r="I136" s="1">
        <v>13</v>
      </c>
      <c r="J136" s="1">
        <v>6</v>
      </c>
      <c r="K136" s="1">
        <v>8</v>
      </c>
      <c r="L136" s="1">
        <v>10</v>
      </c>
      <c r="M136" s="1">
        <v>13</v>
      </c>
      <c r="N136" s="1">
        <v>14</v>
      </c>
      <c r="O136" s="1">
        <v>13</v>
      </c>
      <c r="P136" s="1">
        <v>24</v>
      </c>
      <c r="Q136" s="1">
        <v>38</v>
      </c>
      <c r="R136" s="1">
        <v>26</v>
      </c>
      <c r="S136" s="1">
        <v>39</v>
      </c>
      <c r="T136" s="1">
        <v>55</v>
      </c>
      <c r="U136" s="1">
        <v>55</v>
      </c>
      <c r="V136" s="1">
        <v>71</v>
      </c>
      <c r="W136" s="1">
        <v>70</v>
      </c>
      <c r="X136" s="1">
        <v>65</v>
      </c>
      <c r="Y136" s="1">
        <v>56</v>
      </c>
      <c r="Z136" s="1">
        <v>61</v>
      </c>
      <c r="AA136" s="1">
        <v>59</v>
      </c>
      <c r="AB136" s="1">
        <v>51</v>
      </c>
      <c r="AC136" s="1">
        <v>53</v>
      </c>
      <c r="AD136" s="1">
        <v>63</v>
      </c>
      <c r="AE136" s="1">
        <v>63</v>
      </c>
      <c r="AF136" s="1">
        <v>44</v>
      </c>
      <c r="AG136" s="1">
        <v>40</v>
      </c>
      <c r="AH136" s="1">
        <v>40</v>
      </c>
      <c r="AI136" s="1">
        <v>26</v>
      </c>
      <c r="AJ136" s="1">
        <v>33</v>
      </c>
      <c r="AK136" s="1">
        <v>33</v>
      </c>
      <c r="AL136" s="1">
        <v>25</v>
      </c>
      <c r="AM136" s="1">
        <v>35</v>
      </c>
      <c r="AN136" s="1">
        <v>44</v>
      </c>
      <c r="AO136" s="1">
        <v>51</v>
      </c>
      <c r="AP136" s="1">
        <v>61</v>
      </c>
      <c r="AQ136" s="1">
        <v>54</v>
      </c>
      <c r="AR136" s="1">
        <v>147</v>
      </c>
      <c r="AS136" s="1">
        <v>420</v>
      </c>
      <c r="AT136" s="1">
        <v>708</v>
      </c>
      <c r="AU136" s="1">
        <v>985</v>
      </c>
      <c r="AV136" s="1">
        <v>1121</v>
      </c>
      <c r="AW136" s="1">
        <v>781</v>
      </c>
      <c r="AX136" s="1">
        <v>415</v>
      </c>
      <c r="AY136" s="1">
        <v>290</v>
      </c>
      <c r="AZ136" s="1">
        <v>147</v>
      </c>
      <c r="BA136" s="1">
        <v>74</v>
      </c>
      <c r="BB136" s="1">
        <v>46</v>
      </c>
      <c r="BC136" s="1">
        <v>24</v>
      </c>
    </row>
    <row r="137" spans="1:255" ht="16.5" customHeight="1">
      <c r="A137" s="1" t="s">
        <v>67</v>
      </c>
      <c r="B137" s="1">
        <v>2019</v>
      </c>
      <c r="C137" s="1">
        <v>3993</v>
      </c>
      <c r="D137" s="1">
        <v>11</v>
      </c>
      <c r="E137" s="1">
        <v>10</v>
      </c>
      <c r="F137" s="1">
        <v>5</v>
      </c>
      <c r="G137" s="1">
        <v>17</v>
      </c>
      <c r="H137" s="1">
        <v>14</v>
      </c>
      <c r="I137" s="1">
        <v>6</v>
      </c>
      <c r="J137" s="1">
        <v>7</v>
      </c>
      <c r="K137" s="1">
        <v>6</v>
      </c>
      <c r="L137" s="1">
        <v>8</v>
      </c>
      <c r="M137" s="1">
        <v>13</v>
      </c>
      <c r="N137" s="1">
        <v>10</v>
      </c>
      <c r="O137" s="1">
        <v>11</v>
      </c>
      <c r="P137" s="1">
        <v>12</v>
      </c>
      <c r="Q137" s="1">
        <v>10</v>
      </c>
      <c r="R137" s="1">
        <v>14</v>
      </c>
      <c r="S137" s="1">
        <v>19</v>
      </c>
      <c r="T137" s="1">
        <v>20</v>
      </c>
      <c r="U137" s="1">
        <v>23</v>
      </c>
      <c r="V137" s="1">
        <v>30</v>
      </c>
      <c r="W137" s="1">
        <v>24</v>
      </c>
      <c r="X137" s="1">
        <v>27</v>
      </c>
      <c r="Y137" s="1">
        <v>18</v>
      </c>
      <c r="Z137" s="1">
        <v>13</v>
      </c>
      <c r="AA137" s="1">
        <v>36</v>
      </c>
      <c r="AB137" s="1">
        <v>29</v>
      </c>
      <c r="AC137" s="1">
        <v>29</v>
      </c>
      <c r="AD137" s="1">
        <v>27</v>
      </c>
      <c r="AE137" s="1">
        <v>27</v>
      </c>
      <c r="AF137" s="1">
        <v>20</v>
      </c>
      <c r="AG137" s="1">
        <v>30</v>
      </c>
      <c r="AH137" s="1">
        <v>34</v>
      </c>
      <c r="AI137" s="1">
        <v>25</v>
      </c>
      <c r="AJ137" s="1">
        <v>26</v>
      </c>
      <c r="AK137" s="1">
        <v>47</v>
      </c>
      <c r="AL137" s="1">
        <v>43</v>
      </c>
      <c r="AM137" s="1">
        <v>65</v>
      </c>
      <c r="AN137" s="1">
        <v>30</v>
      </c>
      <c r="AO137" s="1">
        <v>37</v>
      </c>
      <c r="AP137" s="1">
        <v>34</v>
      </c>
      <c r="AQ137" s="1">
        <v>34</v>
      </c>
      <c r="AR137" s="1">
        <v>48</v>
      </c>
      <c r="AS137" s="1">
        <v>103</v>
      </c>
      <c r="AT137" s="1">
        <v>132</v>
      </c>
      <c r="AU137" s="1">
        <v>273</v>
      </c>
      <c r="AV137" s="1">
        <v>680</v>
      </c>
      <c r="AW137" s="1">
        <v>717</v>
      </c>
      <c r="AX137" s="1">
        <v>441</v>
      </c>
      <c r="AY137" s="1">
        <v>352</v>
      </c>
      <c r="AZ137" s="1">
        <v>168</v>
      </c>
      <c r="BA137" s="1">
        <v>98</v>
      </c>
      <c r="BB137" s="1">
        <v>58</v>
      </c>
      <c r="BC137" s="1">
        <v>22</v>
      </c>
    </row>
    <row r="138" spans="1:255" ht="16.5" customHeight="1">
      <c r="A138" s="1" t="s">
        <v>67</v>
      </c>
      <c r="B138" s="1">
        <v>2020</v>
      </c>
      <c r="C138" s="1">
        <v>4475</v>
      </c>
      <c r="D138" s="1">
        <v>24</v>
      </c>
      <c r="E138" s="1">
        <v>23</v>
      </c>
      <c r="F138" s="1">
        <v>12</v>
      </c>
      <c r="G138" s="1">
        <v>7</v>
      </c>
      <c r="H138" s="1">
        <v>7</v>
      </c>
      <c r="I138" s="1">
        <v>13</v>
      </c>
      <c r="J138" s="1">
        <v>4</v>
      </c>
      <c r="K138" s="1">
        <v>4</v>
      </c>
      <c r="L138" s="1">
        <v>6</v>
      </c>
      <c r="M138" s="1">
        <v>3</v>
      </c>
      <c r="N138" s="1">
        <v>4</v>
      </c>
      <c r="O138" s="1">
        <v>5</v>
      </c>
      <c r="P138" s="1">
        <v>5</v>
      </c>
      <c r="Q138" s="1">
        <v>11</v>
      </c>
      <c r="R138" s="1">
        <v>13</v>
      </c>
      <c r="S138" s="1">
        <v>11</v>
      </c>
      <c r="T138" s="1">
        <v>11</v>
      </c>
      <c r="U138" s="1">
        <v>4</v>
      </c>
      <c r="V138" s="1">
        <v>17</v>
      </c>
      <c r="W138" s="1">
        <v>19</v>
      </c>
      <c r="X138" s="1">
        <v>14</v>
      </c>
      <c r="Y138" s="1">
        <v>21</v>
      </c>
      <c r="Z138" s="1">
        <v>23</v>
      </c>
      <c r="AA138" s="1">
        <v>17</v>
      </c>
      <c r="AB138" s="1">
        <v>12</v>
      </c>
      <c r="AC138" s="1">
        <v>23</v>
      </c>
      <c r="AD138" s="1">
        <v>15</v>
      </c>
      <c r="AE138" s="1">
        <v>17</v>
      </c>
      <c r="AF138" s="1">
        <v>15</v>
      </c>
      <c r="AG138" s="1">
        <v>20</v>
      </c>
      <c r="AH138" s="1">
        <v>20</v>
      </c>
      <c r="AI138" s="1">
        <v>4</v>
      </c>
      <c r="AJ138" s="1">
        <v>12</v>
      </c>
      <c r="AK138" s="1">
        <v>20</v>
      </c>
      <c r="AL138" s="1">
        <v>15</v>
      </c>
      <c r="AM138" s="1">
        <v>20</v>
      </c>
      <c r="AN138" s="1">
        <v>25</v>
      </c>
      <c r="AO138" s="1">
        <v>16</v>
      </c>
      <c r="AP138" s="1">
        <v>32</v>
      </c>
      <c r="AQ138" s="1">
        <v>16</v>
      </c>
      <c r="AR138" s="1">
        <v>29</v>
      </c>
      <c r="AS138" s="1">
        <v>90</v>
      </c>
      <c r="AT138" s="1">
        <v>275</v>
      </c>
      <c r="AU138" s="1">
        <v>495</v>
      </c>
      <c r="AV138" s="1">
        <v>653</v>
      </c>
      <c r="AW138" s="1">
        <v>806</v>
      </c>
      <c r="AX138" s="1">
        <v>623</v>
      </c>
      <c r="AY138" s="1">
        <v>456</v>
      </c>
      <c r="AZ138" s="1">
        <v>226</v>
      </c>
      <c r="BA138" s="1">
        <v>160</v>
      </c>
      <c r="BB138" s="1">
        <v>77</v>
      </c>
      <c r="BC138" s="1">
        <v>25</v>
      </c>
    </row>
    <row r="139" spans="1:255" ht="16.5" customHeight="1">
      <c r="A139" s="1" t="s">
        <v>67</v>
      </c>
      <c r="B139" s="1">
        <v>2021</v>
      </c>
      <c r="C139" s="1">
        <v>5906</v>
      </c>
      <c r="D139" s="1">
        <v>20</v>
      </c>
      <c r="E139" s="1">
        <v>20</v>
      </c>
      <c r="F139" s="1">
        <v>14</v>
      </c>
      <c r="G139" s="1">
        <v>17</v>
      </c>
      <c r="H139" s="1">
        <v>14</v>
      </c>
      <c r="I139" s="1">
        <v>17</v>
      </c>
      <c r="J139" s="1">
        <v>6</v>
      </c>
      <c r="K139" s="1">
        <v>13</v>
      </c>
      <c r="L139" s="1">
        <v>8</v>
      </c>
      <c r="M139" s="1">
        <v>9</v>
      </c>
      <c r="N139" s="1">
        <v>11</v>
      </c>
      <c r="O139" s="1">
        <v>10</v>
      </c>
      <c r="P139" s="1">
        <v>6</v>
      </c>
      <c r="Q139" s="1">
        <v>13</v>
      </c>
      <c r="R139" s="1">
        <v>17</v>
      </c>
      <c r="S139" s="1">
        <v>10</v>
      </c>
      <c r="T139" s="1">
        <v>20</v>
      </c>
      <c r="U139" s="1">
        <v>21</v>
      </c>
      <c r="V139" s="1">
        <v>13</v>
      </c>
      <c r="W139" s="1">
        <v>19</v>
      </c>
      <c r="X139" s="1">
        <v>19</v>
      </c>
      <c r="Y139" s="1">
        <v>37</v>
      </c>
      <c r="Z139" s="1">
        <v>27</v>
      </c>
      <c r="AA139" s="1">
        <v>21</v>
      </c>
      <c r="AB139" s="1">
        <v>28</v>
      </c>
      <c r="AC139" s="1">
        <v>30</v>
      </c>
      <c r="AD139" s="1">
        <v>24</v>
      </c>
      <c r="AE139" s="1">
        <v>23</v>
      </c>
      <c r="AF139" s="1">
        <v>28</v>
      </c>
      <c r="AG139" s="1">
        <v>17</v>
      </c>
      <c r="AH139" s="1">
        <v>24</v>
      </c>
      <c r="AI139" s="1">
        <v>22</v>
      </c>
      <c r="AJ139" s="1">
        <v>35</v>
      </c>
      <c r="AK139" s="1">
        <v>8</v>
      </c>
      <c r="AL139" s="1">
        <v>30</v>
      </c>
      <c r="AM139" s="1">
        <v>24</v>
      </c>
      <c r="AN139" s="1">
        <v>12</v>
      </c>
      <c r="AO139" s="1">
        <v>27</v>
      </c>
      <c r="AP139" s="1">
        <v>16</v>
      </c>
      <c r="AQ139" s="1">
        <v>37</v>
      </c>
      <c r="AR139" s="1">
        <v>83</v>
      </c>
      <c r="AS139" s="1">
        <v>242</v>
      </c>
      <c r="AT139" s="1">
        <v>375</v>
      </c>
      <c r="AU139" s="1">
        <v>493</v>
      </c>
      <c r="AV139" s="1">
        <v>521</v>
      </c>
      <c r="AW139" s="1">
        <v>852</v>
      </c>
      <c r="AX139" s="1">
        <v>1205</v>
      </c>
      <c r="AY139" s="1">
        <v>756</v>
      </c>
      <c r="AZ139" s="1">
        <v>321</v>
      </c>
      <c r="BA139" s="1">
        <v>152</v>
      </c>
      <c r="BB139" s="1">
        <v>95</v>
      </c>
      <c r="BC139" s="1">
        <v>44</v>
      </c>
    </row>
    <row r="140" spans="1:255" ht="16.5" customHeight="1">
      <c r="A140" s="1" t="s">
        <v>67</v>
      </c>
      <c r="B140" s="1">
        <v>2022</v>
      </c>
      <c r="C140" s="1">
        <v>6262</v>
      </c>
      <c r="D140" s="1">
        <v>27</v>
      </c>
      <c r="E140" s="1">
        <v>37</v>
      </c>
      <c r="F140" s="1">
        <v>22</v>
      </c>
      <c r="G140" s="1">
        <v>25</v>
      </c>
      <c r="H140" s="1">
        <v>19</v>
      </c>
      <c r="I140" s="1">
        <v>12</v>
      </c>
      <c r="J140" s="1">
        <v>13</v>
      </c>
      <c r="K140" s="1">
        <v>10</v>
      </c>
      <c r="L140" s="1">
        <v>10</v>
      </c>
      <c r="M140" s="1">
        <v>6</v>
      </c>
      <c r="N140" s="1">
        <v>7</v>
      </c>
      <c r="O140" s="1">
        <v>9</v>
      </c>
      <c r="P140" s="1">
        <v>4</v>
      </c>
      <c r="Q140" s="1">
        <v>9</v>
      </c>
      <c r="R140" s="1">
        <v>14</v>
      </c>
      <c r="S140" s="1">
        <v>15</v>
      </c>
      <c r="T140" s="1">
        <v>17</v>
      </c>
      <c r="U140" s="1">
        <v>20</v>
      </c>
      <c r="V140" s="1">
        <v>20</v>
      </c>
      <c r="W140" s="1">
        <v>23</v>
      </c>
      <c r="X140" s="1">
        <v>20</v>
      </c>
      <c r="Y140" s="1">
        <v>22</v>
      </c>
      <c r="Z140" s="1">
        <v>23</v>
      </c>
      <c r="AA140" s="1">
        <v>21</v>
      </c>
      <c r="AB140" s="1">
        <v>32</v>
      </c>
      <c r="AC140" s="1">
        <v>31</v>
      </c>
      <c r="AD140" s="1">
        <v>36</v>
      </c>
      <c r="AE140" s="1">
        <v>28</v>
      </c>
      <c r="AF140" s="1">
        <v>30</v>
      </c>
      <c r="AG140" s="1">
        <v>29</v>
      </c>
      <c r="AH140" s="1">
        <v>30</v>
      </c>
      <c r="AI140" s="1">
        <v>35</v>
      </c>
      <c r="AJ140" s="1">
        <v>31</v>
      </c>
      <c r="AK140" s="1">
        <v>17</v>
      </c>
      <c r="AL140" s="1">
        <v>29</v>
      </c>
      <c r="AM140" s="1">
        <v>31</v>
      </c>
      <c r="AN140" s="1">
        <v>24</v>
      </c>
      <c r="AO140" s="1">
        <v>45</v>
      </c>
      <c r="AP140" s="1">
        <v>49</v>
      </c>
      <c r="AQ140" s="1">
        <v>47</v>
      </c>
      <c r="AR140" s="1">
        <v>51</v>
      </c>
      <c r="AS140" s="1">
        <v>149</v>
      </c>
      <c r="AT140" s="1">
        <v>483</v>
      </c>
      <c r="AU140" s="1">
        <v>665</v>
      </c>
      <c r="AV140" s="1">
        <v>1155</v>
      </c>
      <c r="AW140" s="1">
        <v>1102</v>
      </c>
      <c r="AX140" s="1">
        <v>809</v>
      </c>
      <c r="AY140" s="1">
        <v>441</v>
      </c>
      <c r="AZ140" s="1">
        <v>186</v>
      </c>
      <c r="BA140" s="1">
        <v>146</v>
      </c>
      <c r="BB140" s="1">
        <v>89</v>
      </c>
      <c r="BC140" s="1">
        <v>38</v>
      </c>
    </row>
    <row r="141" spans="1:255" ht="16.5" customHeight="1">
      <c r="A141" s="1" t="s">
        <v>67</v>
      </c>
      <c r="B141" s="1">
        <v>2023</v>
      </c>
      <c r="C141" s="1">
        <v>5663</v>
      </c>
      <c r="D141" s="1">
        <v>29</v>
      </c>
      <c r="E141" s="1">
        <v>19</v>
      </c>
      <c r="F141" s="1">
        <v>23</v>
      </c>
      <c r="G141" s="1">
        <v>15</v>
      </c>
      <c r="H141" s="1">
        <v>27</v>
      </c>
      <c r="I141" s="1">
        <v>18</v>
      </c>
      <c r="J141" s="1">
        <v>9</v>
      </c>
      <c r="K141" s="1">
        <v>14</v>
      </c>
      <c r="L141" s="1">
        <v>8</v>
      </c>
      <c r="M141" s="1">
        <v>15</v>
      </c>
      <c r="N141" s="1">
        <v>11</v>
      </c>
      <c r="O141" s="1">
        <v>14</v>
      </c>
      <c r="P141" s="1">
        <v>26</v>
      </c>
      <c r="Q141" s="1">
        <v>20</v>
      </c>
      <c r="R141" s="1">
        <v>18</v>
      </c>
      <c r="S141" s="1">
        <v>22</v>
      </c>
      <c r="T141" s="1">
        <v>35</v>
      </c>
      <c r="U141" s="1">
        <v>20</v>
      </c>
      <c r="V141" s="1">
        <v>31</v>
      </c>
      <c r="W141" s="1">
        <v>27</v>
      </c>
      <c r="X141" s="1">
        <v>24</v>
      </c>
      <c r="Y141" s="1">
        <v>32</v>
      </c>
      <c r="Z141" s="1">
        <v>34</v>
      </c>
      <c r="AA141" s="1">
        <v>37</v>
      </c>
      <c r="AB141" s="1">
        <v>40</v>
      </c>
      <c r="AC141" s="1">
        <v>26</v>
      </c>
      <c r="AD141" s="1">
        <v>24</v>
      </c>
      <c r="AE141" s="1">
        <v>21</v>
      </c>
      <c r="AF141" s="1">
        <v>20</v>
      </c>
      <c r="AG141" s="1">
        <v>25</v>
      </c>
      <c r="AH141" s="1">
        <v>31</v>
      </c>
      <c r="AI141" s="1">
        <v>22</v>
      </c>
      <c r="AJ141" s="1">
        <v>37</v>
      </c>
      <c r="AK141" s="1">
        <v>31</v>
      </c>
      <c r="AL141" s="1">
        <v>29</v>
      </c>
      <c r="AM141" s="1">
        <v>25</v>
      </c>
      <c r="AN141" s="1">
        <v>31</v>
      </c>
      <c r="AO141" s="1">
        <v>34</v>
      </c>
      <c r="AP141" s="1">
        <v>31</v>
      </c>
      <c r="AQ141" s="1">
        <v>31</v>
      </c>
      <c r="AR141" s="1">
        <v>57</v>
      </c>
      <c r="AS141" s="1">
        <v>147</v>
      </c>
      <c r="AT141" s="1">
        <v>432</v>
      </c>
      <c r="AU141" s="1">
        <v>813</v>
      </c>
      <c r="AV141" s="1">
        <v>873</v>
      </c>
      <c r="AW141" s="1">
        <v>897</v>
      </c>
      <c r="AX141" s="1">
        <v>696</v>
      </c>
      <c r="AY141" s="1">
        <v>384</v>
      </c>
      <c r="AZ141" s="1">
        <v>156</v>
      </c>
      <c r="BA141" s="1">
        <v>112</v>
      </c>
      <c r="BB141" s="1">
        <v>68</v>
      </c>
      <c r="BC141" s="1">
        <v>42</v>
      </c>
    </row>
    <row r="142" spans="1:255" ht="16.5" customHeight="1">
      <c r="A142" s="1" t="s">
        <v>67</v>
      </c>
      <c r="B142" s="1">
        <v>2024</v>
      </c>
      <c r="C142" s="1">
        <v>6260</v>
      </c>
      <c r="D142" s="1">
        <v>42</v>
      </c>
      <c r="E142" s="1">
        <v>45</v>
      </c>
      <c r="F142" s="1">
        <v>34</v>
      </c>
      <c r="G142" s="1">
        <v>25</v>
      </c>
      <c r="H142" s="1">
        <v>19</v>
      </c>
      <c r="I142" s="1">
        <v>15</v>
      </c>
      <c r="J142" s="1">
        <v>25</v>
      </c>
      <c r="K142" s="1">
        <v>11</v>
      </c>
      <c r="L142" s="1">
        <v>18</v>
      </c>
      <c r="M142" s="1">
        <v>11</v>
      </c>
      <c r="N142" s="1">
        <v>12</v>
      </c>
      <c r="O142" s="1">
        <v>15</v>
      </c>
      <c r="P142" s="1">
        <v>15</v>
      </c>
      <c r="Q142" s="1">
        <v>16</v>
      </c>
      <c r="R142" s="1">
        <v>16</v>
      </c>
      <c r="S142" s="1">
        <v>28</v>
      </c>
      <c r="T142" s="1">
        <v>32</v>
      </c>
      <c r="U142" s="1">
        <v>20</v>
      </c>
      <c r="V142" s="1">
        <v>25</v>
      </c>
      <c r="W142" s="1">
        <v>27</v>
      </c>
      <c r="X142" s="1">
        <v>39</v>
      </c>
      <c r="Y142" s="1">
        <v>45</v>
      </c>
      <c r="Z142" s="1">
        <v>33</v>
      </c>
      <c r="AA142" s="1">
        <v>30</v>
      </c>
      <c r="AB142" s="1">
        <v>27</v>
      </c>
      <c r="AC142" s="1">
        <v>41</v>
      </c>
      <c r="AD142" s="1">
        <v>40</v>
      </c>
      <c r="AE142" s="1">
        <v>32</v>
      </c>
      <c r="AF142" s="1">
        <v>43</v>
      </c>
      <c r="AG142" s="1">
        <v>27</v>
      </c>
      <c r="AH142" s="1">
        <v>24</v>
      </c>
      <c r="AI142" s="1">
        <v>37</v>
      </c>
      <c r="AJ142" s="1">
        <v>24</v>
      </c>
      <c r="AK142" s="1">
        <v>32</v>
      </c>
      <c r="AL142" s="1">
        <v>38</v>
      </c>
      <c r="AM142" s="1">
        <v>22</v>
      </c>
      <c r="AN142" s="1">
        <v>19</v>
      </c>
      <c r="AO142" s="1">
        <v>4</v>
      </c>
      <c r="AP142" s="1">
        <v>11</v>
      </c>
      <c r="AQ142" s="1">
        <v>8</v>
      </c>
      <c r="AR142" s="1">
        <v>13</v>
      </c>
      <c r="AS142" s="1">
        <v>62</v>
      </c>
      <c r="AT142" s="1">
        <v>292</v>
      </c>
      <c r="AU142" s="1">
        <v>740</v>
      </c>
      <c r="AV142" s="1">
        <v>829</v>
      </c>
      <c r="AW142" s="1">
        <v>663</v>
      </c>
      <c r="AX142" s="1">
        <v>737</v>
      </c>
      <c r="AY142" s="1">
        <v>736</v>
      </c>
      <c r="AZ142" s="1">
        <v>723</v>
      </c>
      <c r="BA142" s="1">
        <v>306</v>
      </c>
      <c r="BB142" s="1">
        <v>86</v>
      </c>
      <c r="BC142" s="1">
        <v>46</v>
      </c>
    </row>
    <row r="143" spans="1:255" ht="16.5" customHeight="1">
      <c r="A143" s="1" t="s">
        <v>67</v>
      </c>
      <c r="B143" s="1">
        <v>2025</v>
      </c>
      <c r="C143" s="1">
        <v>3406</v>
      </c>
      <c r="D143" s="1">
        <v>16</v>
      </c>
      <c r="E143" s="1">
        <v>5</v>
      </c>
      <c r="F143" s="1">
        <v>2</v>
      </c>
      <c r="G143" s="1">
        <v>4</v>
      </c>
      <c r="H143" s="1">
        <v>1</v>
      </c>
      <c r="I143" s="1">
        <v>2</v>
      </c>
      <c r="J143" s="1">
        <v>0</v>
      </c>
      <c r="K143" s="1">
        <v>2</v>
      </c>
      <c r="L143" s="1">
        <v>0</v>
      </c>
      <c r="M143" s="1">
        <v>0</v>
      </c>
      <c r="N143" s="1">
        <v>2</v>
      </c>
      <c r="O143" s="1">
        <v>0</v>
      </c>
      <c r="P143" s="1">
        <v>4</v>
      </c>
      <c r="Q143" s="1">
        <v>3</v>
      </c>
      <c r="R143" s="1">
        <v>2</v>
      </c>
      <c r="S143" s="1">
        <v>10</v>
      </c>
      <c r="T143" s="1">
        <v>5</v>
      </c>
      <c r="U143" s="1">
        <v>7</v>
      </c>
      <c r="V143" s="1">
        <v>10</v>
      </c>
      <c r="W143" s="1">
        <v>11</v>
      </c>
      <c r="X143" s="1">
        <v>10</v>
      </c>
      <c r="Y143" s="1">
        <v>12</v>
      </c>
      <c r="Z143" s="1">
        <v>9</v>
      </c>
      <c r="AA143" s="1">
        <v>12</v>
      </c>
      <c r="AB143" s="1">
        <v>10</v>
      </c>
      <c r="AC143" s="1">
        <v>12</v>
      </c>
      <c r="AD143" s="1">
        <v>6</v>
      </c>
      <c r="AE143" s="1">
        <v>7</v>
      </c>
      <c r="AF143" s="1">
        <v>8</v>
      </c>
      <c r="AG143" s="1">
        <v>3</v>
      </c>
      <c r="AH143" s="1">
        <v>7</v>
      </c>
      <c r="AI143" s="1">
        <v>3</v>
      </c>
      <c r="AJ143" s="1">
        <v>7</v>
      </c>
      <c r="AK143" s="1">
        <v>9</v>
      </c>
      <c r="AL143" s="1">
        <v>5</v>
      </c>
      <c r="AM143" s="1">
        <v>8</v>
      </c>
      <c r="AN143" s="1">
        <v>6</v>
      </c>
      <c r="AO143" s="1">
        <v>6</v>
      </c>
      <c r="AP143" s="1">
        <v>7</v>
      </c>
      <c r="AQ143" s="1">
        <v>13</v>
      </c>
      <c r="AR143" s="1">
        <v>6</v>
      </c>
      <c r="AS143" s="1">
        <v>57</v>
      </c>
      <c r="AT143" s="1">
        <v>157</v>
      </c>
      <c r="AU143" s="1">
        <v>234</v>
      </c>
      <c r="AV143" s="1">
        <v>285</v>
      </c>
      <c r="AW143" s="1">
        <v>714</v>
      </c>
      <c r="AX143" s="1">
        <v>675</v>
      </c>
      <c r="AY143" s="1">
        <v>559</v>
      </c>
      <c r="AZ143" s="1">
        <v>304</v>
      </c>
      <c r="BA143" s="1">
        <v>102</v>
      </c>
      <c r="BB143" s="1">
        <v>48</v>
      </c>
      <c r="BC143" s="1">
        <v>19</v>
      </c>
    </row>
    <row r="144" spans="1:255" ht="16.5" customHeight="1">
      <c r="A144" s="2" t="s">
        <v>2</v>
      </c>
      <c r="B144" s="2"/>
      <c r="C144" s="2">
        <f t="shared" ref="C144:AH144" si="24">SUM(C134:C143)</f>
        <v>64285</v>
      </c>
      <c r="D144" s="2">
        <f t="shared" si="24"/>
        <v>242</v>
      </c>
      <c r="E144" s="2">
        <f t="shared" si="24"/>
        <v>226</v>
      </c>
      <c r="F144" s="2">
        <f t="shared" si="24"/>
        <v>153</v>
      </c>
      <c r="G144" s="2">
        <f t="shared" si="24"/>
        <v>156</v>
      </c>
      <c r="H144" s="2">
        <f t="shared" si="24"/>
        <v>143</v>
      </c>
      <c r="I144" s="2">
        <f t="shared" si="24"/>
        <v>112</v>
      </c>
      <c r="J144" s="2">
        <f t="shared" si="24"/>
        <v>90</v>
      </c>
      <c r="K144" s="2">
        <f t="shared" si="24"/>
        <v>94</v>
      </c>
      <c r="L144" s="2">
        <f t="shared" si="24"/>
        <v>92</v>
      </c>
      <c r="M144" s="2">
        <f t="shared" si="24"/>
        <v>81</v>
      </c>
      <c r="N144" s="2">
        <f t="shared" si="24"/>
        <v>97</v>
      </c>
      <c r="O144" s="2">
        <f t="shared" si="24"/>
        <v>105</v>
      </c>
      <c r="P144" s="2">
        <f t="shared" si="24"/>
        <v>114</v>
      </c>
      <c r="Q144" s="2">
        <f t="shared" si="24"/>
        <v>158</v>
      </c>
      <c r="R144" s="2">
        <f t="shared" si="24"/>
        <v>147</v>
      </c>
      <c r="S144" s="2">
        <f t="shared" si="24"/>
        <v>182</v>
      </c>
      <c r="T144" s="2">
        <f t="shared" si="24"/>
        <v>263</v>
      </c>
      <c r="U144" s="2">
        <f t="shared" si="24"/>
        <v>221</v>
      </c>
      <c r="V144" s="2">
        <f t="shared" si="24"/>
        <v>297</v>
      </c>
      <c r="W144" s="2">
        <f t="shared" si="24"/>
        <v>306</v>
      </c>
      <c r="X144" s="2">
        <f t="shared" si="24"/>
        <v>290</v>
      </c>
      <c r="Y144" s="2">
        <f t="shared" si="24"/>
        <v>332</v>
      </c>
      <c r="Z144" s="2">
        <f t="shared" si="24"/>
        <v>306</v>
      </c>
      <c r="AA144" s="2">
        <f t="shared" si="24"/>
        <v>323</v>
      </c>
      <c r="AB144" s="2">
        <f t="shared" si="24"/>
        <v>314</v>
      </c>
      <c r="AC144" s="2">
        <f t="shared" si="24"/>
        <v>343</v>
      </c>
      <c r="AD144" s="2">
        <f t="shared" si="24"/>
        <v>327</v>
      </c>
      <c r="AE144" s="2">
        <f t="shared" si="24"/>
        <v>278</v>
      </c>
      <c r="AF144" s="2">
        <f t="shared" si="24"/>
        <v>269</v>
      </c>
      <c r="AG144" s="2">
        <f t="shared" si="24"/>
        <v>254</v>
      </c>
      <c r="AH144" s="2">
        <f t="shared" si="24"/>
        <v>278</v>
      </c>
      <c r="AI144" s="2">
        <f t="shared" ref="AI144:BD144" si="25">SUM(AI134:AI143)</f>
        <v>217</v>
      </c>
      <c r="AJ144" s="2">
        <f t="shared" si="25"/>
        <v>268</v>
      </c>
      <c r="AK144" s="2">
        <f t="shared" si="25"/>
        <v>256</v>
      </c>
      <c r="AL144" s="2">
        <f t="shared" si="25"/>
        <v>285</v>
      </c>
      <c r="AM144" s="2">
        <f t="shared" si="25"/>
        <v>315</v>
      </c>
      <c r="AN144" s="2">
        <f t="shared" si="25"/>
        <v>300</v>
      </c>
      <c r="AO144" s="2">
        <f t="shared" si="25"/>
        <v>338</v>
      </c>
      <c r="AP144" s="2">
        <f t="shared" si="25"/>
        <v>428</v>
      </c>
      <c r="AQ144" s="2">
        <f t="shared" si="25"/>
        <v>421</v>
      </c>
      <c r="AR144" s="2">
        <f t="shared" si="25"/>
        <v>902</v>
      </c>
      <c r="AS144" s="2">
        <f t="shared" si="25"/>
        <v>2329</v>
      </c>
      <c r="AT144" s="2">
        <f t="shared" si="25"/>
        <v>4660</v>
      </c>
      <c r="AU144" s="2">
        <f t="shared" si="25"/>
        <v>7063</v>
      </c>
      <c r="AV144" s="2">
        <f t="shared" si="25"/>
        <v>10172</v>
      </c>
      <c r="AW144" s="2">
        <f t="shared" si="25"/>
        <v>10675</v>
      </c>
      <c r="AX144" s="2">
        <f t="shared" si="25"/>
        <v>7937</v>
      </c>
      <c r="AY144" s="2">
        <f t="shared" si="25"/>
        <v>5349</v>
      </c>
      <c r="AZ144" s="2">
        <f t="shared" si="25"/>
        <v>3053</v>
      </c>
      <c r="BA144" s="2">
        <f t="shared" si="25"/>
        <v>1530</v>
      </c>
      <c r="BB144" s="2">
        <f t="shared" si="25"/>
        <v>795</v>
      </c>
      <c r="BC144" s="2">
        <f t="shared" si="25"/>
        <v>354</v>
      </c>
      <c r="BD144" s="2">
        <f t="shared" si="25"/>
        <v>26</v>
      </c>
    </row>
    <row r="145" spans="1:255" ht="16.5" customHeight="1">
      <c r="A145" s="4" t="s">
        <v>68</v>
      </c>
      <c r="B145" s="4">
        <v>2016</v>
      </c>
      <c r="C145" s="4">
        <v>1767</v>
      </c>
      <c r="D145" s="5">
        <v>5</v>
      </c>
      <c r="E145" s="4">
        <v>5</v>
      </c>
      <c r="F145" s="4">
        <v>1</v>
      </c>
      <c r="G145" s="4">
        <v>8</v>
      </c>
      <c r="H145" s="4">
        <v>1</v>
      </c>
      <c r="I145" s="4">
        <v>2</v>
      </c>
      <c r="J145" s="4">
        <v>0</v>
      </c>
      <c r="K145" s="4">
        <v>1</v>
      </c>
      <c r="L145" s="4">
        <v>4</v>
      </c>
      <c r="M145" s="4">
        <v>2</v>
      </c>
      <c r="N145" s="4">
        <v>3</v>
      </c>
      <c r="O145" s="4">
        <v>6</v>
      </c>
      <c r="P145" s="4">
        <v>0</v>
      </c>
      <c r="Q145" s="4">
        <v>3</v>
      </c>
      <c r="R145" s="4">
        <v>4</v>
      </c>
      <c r="S145" s="4">
        <v>2</v>
      </c>
      <c r="T145" s="4">
        <v>10</v>
      </c>
      <c r="U145" s="4">
        <v>6</v>
      </c>
      <c r="V145" s="4">
        <v>7</v>
      </c>
      <c r="W145" s="4">
        <v>1</v>
      </c>
      <c r="X145" s="4">
        <v>5</v>
      </c>
      <c r="Y145" s="4">
        <v>4</v>
      </c>
      <c r="Z145" s="4">
        <v>9</v>
      </c>
      <c r="AA145" s="4">
        <v>10</v>
      </c>
      <c r="AB145" s="4">
        <v>3</v>
      </c>
      <c r="AC145" s="4">
        <v>15</v>
      </c>
      <c r="AD145" s="4">
        <v>7</v>
      </c>
      <c r="AE145" s="4">
        <v>1</v>
      </c>
      <c r="AF145" s="4">
        <v>3</v>
      </c>
      <c r="AG145" s="4">
        <v>6</v>
      </c>
      <c r="AH145" s="4">
        <v>1</v>
      </c>
      <c r="AI145" s="4">
        <v>3</v>
      </c>
      <c r="AJ145" s="4">
        <v>4</v>
      </c>
      <c r="AK145" s="4">
        <v>3</v>
      </c>
      <c r="AL145" s="4">
        <v>8</v>
      </c>
      <c r="AM145" s="4">
        <v>3</v>
      </c>
      <c r="AN145" s="4">
        <v>8</v>
      </c>
      <c r="AO145" s="4">
        <v>4</v>
      </c>
      <c r="AP145" s="4">
        <v>16</v>
      </c>
      <c r="AQ145" s="4">
        <v>8</v>
      </c>
      <c r="AR145" s="4">
        <v>19</v>
      </c>
      <c r="AS145" s="4">
        <v>52</v>
      </c>
      <c r="AT145" s="4">
        <v>63</v>
      </c>
      <c r="AU145" s="4">
        <v>134</v>
      </c>
      <c r="AV145" s="4">
        <v>350</v>
      </c>
      <c r="AW145" s="4">
        <v>366</v>
      </c>
      <c r="AX145" s="4">
        <v>209</v>
      </c>
      <c r="AY145" s="4">
        <v>164</v>
      </c>
      <c r="AZ145" s="4">
        <v>126</v>
      </c>
      <c r="BA145" s="4">
        <v>60</v>
      </c>
      <c r="BB145" s="4">
        <v>18</v>
      </c>
      <c r="BC145" s="4">
        <v>10</v>
      </c>
      <c r="BD145" s="4">
        <v>4</v>
      </c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  <c r="EM145" s="4"/>
      <c r="EN145" s="4"/>
      <c r="EO145" s="4"/>
      <c r="EP145" s="4"/>
      <c r="EQ145" s="4"/>
      <c r="ER145" s="4"/>
      <c r="ES145" s="4"/>
      <c r="ET145" s="4"/>
      <c r="EU145" s="4"/>
      <c r="EV145" s="4"/>
      <c r="EW145" s="4"/>
      <c r="EX145" s="4"/>
      <c r="EY145" s="4"/>
      <c r="EZ145" s="4"/>
      <c r="FA145" s="4"/>
      <c r="FB145" s="4"/>
      <c r="FC145" s="4"/>
      <c r="FD145" s="4"/>
      <c r="FE145" s="4"/>
      <c r="FF145" s="4"/>
      <c r="FG145" s="4"/>
      <c r="FH145" s="4"/>
      <c r="FI145" s="4"/>
      <c r="FJ145" s="4"/>
      <c r="FK145" s="4"/>
      <c r="FL145" s="4"/>
      <c r="FM145" s="4"/>
      <c r="FN145" s="4"/>
      <c r="FO145" s="4"/>
      <c r="FP145" s="4"/>
      <c r="FQ145" s="4"/>
      <c r="FR145" s="4"/>
      <c r="FS145" s="4"/>
      <c r="FT145" s="4"/>
      <c r="FU145" s="4"/>
      <c r="FV145" s="4"/>
      <c r="FW145" s="4"/>
      <c r="FX145" s="4"/>
      <c r="FY145" s="4"/>
      <c r="FZ145" s="4"/>
      <c r="GA145" s="4"/>
      <c r="GB145" s="4"/>
      <c r="GC145" s="4"/>
      <c r="GD145" s="4"/>
      <c r="GE145" s="4"/>
      <c r="GF145" s="4"/>
      <c r="GG145" s="4"/>
      <c r="GH145" s="4"/>
      <c r="GI145" s="4"/>
      <c r="GJ145" s="4"/>
      <c r="GK145" s="4"/>
      <c r="GL145" s="4"/>
      <c r="GM145" s="4"/>
      <c r="GN145" s="4"/>
      <c r="GO145" s="4"/>
      <c r="GP145" s="4"/>
      <c r="GQ145" s="4"/>
      <c r="GR145" s="4"/>
      <c r="GS145" s="4"/>
      <c r="GT145" s="4"/>
      <c r="GU145" s="4"/>
      <c r="GV145" s="4"/>
      <c r="GW145" s="4"/>
      <c r="GX145" s="4"/>
      <c r="GY145" s="4"/>
      <c r="GZ145" s="4"/>
      <c r="HA145" s="4"/>
      <c r="HB145" s="4"/>
      <c r="HC145" s="4"/>
      <c r="HD145" s="4"/>
      <c r="HE145" s="4"/>
      <c r="HF145" s="4"/>
      <c r="HG145" s="4"/>
      <c r="HH145" s="4"/>
      <c r="HI145" s="4"/>
      <c r="HJ145" s="4"/>
      <c r="HK145" s="4"/>
      <c r="HL145" s="4"/>
      <c r="HM145" s="4"/>
      <c r="HN145" s="4"/>
      <c r="HO145" s="4"/>
      <c r="HP145" s="4"/>
      <c r="HQ145" s="4"/>
      <c r="HR145" s="4"/>
      <c r="HS145" s="4"/>
      <c r="HT145" s="4"/>
      <c r="HU145" s="4"/>
      <c r="HV145" s="4"/>
      <c r="HW145" s="4"/>
      <c r="HX145" s="4"/>
      <c r="HY145" s="4"/>
      <c r="HZ145" s="4"/>
      <c r="IA145" s="4"/>
      <c r="IB145" s="4"/>
      <c r="IC145" s="4"/>
      <c r="ID145" s="4"/>
      <c r="IE145" s="4"/>
      <c r="IF145" s="4"/>
      <c r="IG145" s="4"/>
      <c r="IH145" s="4"/>
      <c r="II145" s="4"/>
      <c r="IJ145" s="4"/>
      <c r="IK145" s="4"/>
      <c r="IL145" s="4"/>
      <c r="IM145" s="4"/>
      <c r="IN145" s="4"/>
      <c r="IO145" s="4"/>
      <c r="IP145" s="4"/>
      <c r="IQ145" s="4"/>
      <c r="IR145" s="4"/>
      <c r="IS145" s="4"/>
      <c r="IT145" s="4"/>
      <c r="IU145" s="4"/>
    </row>
    <row r="146" spans="1:255" ht="16.5" customHeight="1">
      <c r="A146" s="3" t="s">
        <v>68</v>
      </c>
      <c r="B146" s="3">
        <v>2017</v>
      </c>
      <c r="C146" s="3">
        <v>1619</v>
      </c>
      <c r="D146" s="3">
        <v>8</v>
      </c>
      <c r="E146" s="3">
        <v>5</v>
      </c>
      <c r="F146" s="3">
        <v>1</v>
      </c>
      <c r="G146" s="3">
        <v>3</v>
      </c>
      <c r="H146" s="3">
        <v>1</v>
      </c>
      <c r="I146" s="3">
        <v>1</v>
      </c>
      <c r="J146" s="3">
        <v>0</v>
      </c>
      <c r="K146" s="3">
        <v>1</v>
      </c>
      <c r="L146" s="3">
        <v>0</v>
      </c>
      <c r="M146" s="3">
        <v>0</v>
      </c>
      <c r="N146" s="3">
        <v>1</v>
      </c>
      <c r="O146" s="3">
        <v>3</v>
      </c>
      <c r="P146" s="3">
        <v>1</v>
      </c>
      <c r="Q146" s="3">
        <v>6</v>
      </c>
      <c r="R146" s="3">
        <v>1</v>
      </c>
      <c r="S146" s="3">
        <v>7</v>
      </c>
      <c r="T146" s="3">
        <v>10</v>
      </c>
      <c r="U146" s="3">
        <v>5</v>
      </c>
      <c r="V146" s="3">
        <v>15</v>
      </c>
      <c r="W146" s="3">
        <v>10</v>
      </c>
      <c r="X146" s="3">
        <v>6</v>
      </c>
      <c r="Y146" s="3">
        <v>11</v>
      </c>
      <c r="Z146" s="3">
        <v>4</v>
      </c>
      <c r="AA146" s="3">
        <v>14</v>
      </c>
      <c r="AB146" s="3">
        <v>9</v>
      </c>
      <c r="AC146" s="3">
        <v>7</v>
      </c>
      <c r="AD146" s="3">
        <v>13</v>
      </c>
      <c r="AE146" s="3">
        <v>10</v>
      </c>
      <c r="AF146" s="3">
        <v>8</v>
      </c>
      <c r="AG146" s="3">
        <v>11</v>
      </c>
      <c r="AH146" s="3">
        <v>11</v>
      </c>
      <c r="AI146" s="3">
        <v>12</v>
      </c>
      <c r="AJ146" s="3">
        <v>12</v>
      </c>
      <c r="AK146" s="3">
        <v>7</v>
      </c>
      <c r="AL146" s="3">
        <v>13</v>
      </c>
      <c r="AM146" s="3">
        <v>17</v>
      </c>
      <c r="AN146" s="3">
        <v>15</v>
      </c>
      <c r="AO146" s="3">
        <v>26</v>
      </c>
      <c r="AP146" s="3">
        <v>26</v>
      </c>
      <c r="AQ146" s="3">
        <v>18</v>
      </c>
      <c r="AR146" s="3">
        <v>59</v>
      </c>
      <c r="AS146" s="3">
        <v>95</v>
      </c>
      <c r="AT146" s="3">
        <v>138</v>
      </c>
      <c r="AU146" s="3">
        <v>191</v>
      </c>
      <c r="AV146" s="3">
        <v>253</v>
      </c>
      <c r="AW146" s="3">
        <v>232</v>
      </c>
      <c r="AX146" s="3">
        <v>154</v>
      </c>
      <c r="AY146" s="3">
        <v>94</v>
      </c>
      <c r="AZ146" s="3">
        <v>39</v>
      </c>
      <c r="BA146" s="3">
        <v>17</v>
      </c>
      <c r="BB146" s="3">
        <v>14</v>
      </c>
      <c r="BC146" s="3">
        <v>4</v>
      </c>
    </row>
    <row r="147" spans="1:255" ht="16.5" customHeight="1">
      <c r="A147" s="1" t="s">
        <v>68</v>
      </c>
      <c r="B147" s="1">
        <v>2018</v>
      </c>
      <c r="C147" s="1">
        <v>1066</v>
      </c>
      <c r="D147" s="1">
        <v>3</v>
      </c>
      <c r="E147" s="1">
        <v>3</v>
      </c>
      <c r="F147" s="1">
        <v>4</v>
      </c>
      <c r="G147" s="1">
        <v>5</v>
      </c>
      <c r="H147" s="1">
        <v>0</v>
      </c>
      <c r="I147" s="1">
        <v>4</v>
      </c>
      <c r="J147" s="1">
        <v>2</v>
      </c>
      <c r="K147" s="1">
        <v>3</v>
      </c>
      <c r="L147" s="1">
        <v>2</v>
      </c>
      <c r="M147" s="1">
        <v>6</v>
      </c>
      <c r="N147" s="1">
        <v>5</v>
      </c>
      <c r="O147" s="1">
        <v>2</v>
      </c>
      <c r="P147" s="1">
        <v>8</v>
      </c>
      <c r="Q147" s="1">
        <v>13</v>
      </c>
      <c r="R147" s="1">
        <v>9</v>
      </c>
      <c r="S147" s="1">
        <v>11</v>
      </c>
      <c r="T147" s="1">
        <v>11</v>
      </c>
      <c r="U147" s="1">
        <v>28</v>
      </c>
      <c r="V147" s="1">
        <v>19</v>
      </c>
      <c r="W147" s="1">
        <v>17</v>
      </c>
      <c r="X147" s="1">
        <v>16</v>
      </c>
      <c r="Y147" s="1">
        <v>18</v>
      </c>
      <c r="Z147" s="1">
        <v>20</v>
      </c>
      <c r="AA147" s="1">
        <v>21</v>
      </c>
      <c r="AB147" s="1">
        <v>13</v>
      </c>
      <c r="AC147" s="1">
        <v>14</v>
      </c>
      <c r="AD147" s="1">
        <v>20</v>
      </c>
      <c r="AE147" s="1">
        <v>20</v>
      </c>
      <c r="AF147" s="1">
        <v>12</v>
      </c>
      <c r="AG147" s="1">
        <v>13</v>
      </c>
      <c r="AH147" s="1">
        <v>11</v>
      </c>
      <c r="AI147" s="1">
        <v>6</v>
      </c>
      <c r="AJ147" s="1">
        <v>10</v>
      </c>
      <c r="AK147" s="1">
        <v>5</v>
      </c>
      <c r="AL147" s="1">
        <v>8</v>
      </c>
      <c r="AM147" s="1">
        <v>9</v>
      </c>
      <c r="AN147" s="1">
        <v>7</v>
      </c>
      <c r="AO147" s="1">
        <v>4</v>
      </c>
      <c r="AP147" s="1">
        <v>8</v>
      </c>
      <c r="AQ147" s="1">
        <v>13</v>
      </c>
      <c r="AR147" s="1">
        <v>16</v>
      </c>
      <c r="AS147" s="1">
        <v>54</v>
      </c>
      <c r="AT147" s="1">
        <v>70</v>
      </c>
      <c r="AU147" s="1">
        <v>101</v>
      </c>
      <c r="AV147" s="1">
        <v>121</v>
      </c>
      <c r="AW147" s="1">
        <v>112</v>
      </c>
      <c r="AX147" s="1">
        <v>58</v>
      </c>
      <c r="AY147" s="1">
        <v>59</v>
      </c>
      <c r="AZ147" s="1">
        <v>30</v>
      </c>
      <c r="BA147" s="1">
        <v>23</v>
      </c>
      <c r="BB147" s="1">
        <v>10</v>
      </c>
      <c r="BC147" s="1">
        <v>9</v>
      </c>
    </row>
    <row r="148" spans="1:255" ht="16.5" customHeight="1">
      <c r="A148" s="1" t="s">
        <v>68</v>
      </c>
      <c r="B148" s="1">
        <v>2019</v>
      </c>
      <c r="C148" s="1">
        <v>665</v>
      </c>
      <c r="D148" s="1">
        <v>3</v>
      </c>
      <c r="E148" s="1">
        <v>1</v>
      </c>
      <c r="F148" s="1">
        <v>1</v>
      </c>
      <c r="G148" s="1">
        <v>1</v>
      </c>
      <c r="H148" s="1">
        <v>3</v>
      </c>
      <c r="I148" s="1">
        <v>3</v>
      </c>
      <c r="J148" s="1">
        <v>3</v>
      </c>
      <c r="K148" s="1">
        <v>2</v>
      </c>
      <c r="L148" s="1">
        <v>1</v>
      </c>
      <c r="M148" s="1">
        <v>2</v>
      </c>
      <c r="N148" s="1">
        <v>2</v>
      </c>
      <c r="O148" s="1">
        <v>5</v>
      </c>
      <c r="P148" s="1">
        <v>3</v>
      </c>
      <c r="Q148" s="1">
        <v>3</v>
      </c>
      <c r="R148" s="1">
        <v>7</v>
      </c>
      <c r="S148" s="1">
        <v>3</v>
      </c>
      <c r="T148" s="1">
        <v>4</v>
      </c>
      <c r="U148" s="1">
        <v>8</v>
      </c>
      <c r="V148" s="1">
        <v>17</v>
      </c>
      <c r="W148" s="1">
        <v>7</v>
      </c>
      <c r="X148" s="1">
        <v>6</v>
      </c>
      <c r="Y148" s="1">
        <v>7</v>
      </c>
      <c r="Z148" s="1">
        <v>7</v>
      </c>
      <c r="AA148" s="1">
        <v>13</v>
      </c>
      <c r="AB148" s="1">
        <v>13</v>
      </c>
      <c r="AC148" s="1">
        <v>10</v>
      </c>
      <c r="AD148" s="1">
        <v>8</v>
      </c>
      <c r="AE148" s="1">
        <v>7</v>
      </c>
      <c r="AF148" s="1">
        <v>7</v>
      </c>
      <c r="AG148" s="1">
        <v>7</v>
      </c>
      <c r="AH148" s="1">
        <v>3</v>
      </c>
      <c r="AI148" s="1">
        <v>9</v>
      </c>
      <c r="AJ148" s="1">
        <v>4</v>
      </c>
      <c r="AK148" s="1">
        <v>4</v>
      </c>
      <c r="AL148" s="1">
        <v>4</v>
      </c>
      <c r="AM148" s="1">
        <v>10</v>
      </c>
      <c r="AN148" s="1">
        <v>3</v>
      </c>
      <c r="AO148" s="1">
        <v>7</v>
      </c>
      <c r="AP148" s="1">
        <v>13</v>
      </c>
      <c r="AQ148" s="1">
        <v>6</v>
      </c>
      <c r="AR148" s="1">
        <v>6</v>
      </c>
      <c r="AS148" s="1">
        <v>15</v>
      </c>
      <c r="AT148" s="1">
        <v>26</v>
      </c>
      <c r="AU148" s="1">
        <v>38</v>
      </c>
      <c r="AV148" s="1">
        <v>103</v>
      </c>
      <c r="AW148" s="1">
        <v>101</v>
      </c>
      <c r="AX148" s="1">
        <v>50</v>
      </c>
      <c r="AY148" s="1">
        <v>42</v>
      </c>
      <c r="AZ148" s="1">
        <v>24</v>
      </c>
      <c r="BA148" s="1">
        <v>14</v>
      </c>
      <c r="BB148" s="1">
        <v>16</v>
      </c>
      <c r="BC148" s="1">
        <v>3</v>
      </c>
    </row>
    <row r="149" spans="1:255" ht="16.5" customHeight="1">
      <c r="A149" s="1" t="s">
        <v>68</v>
      </c>
      <c r="B149" s="1">
        <v>2020</v>
      </c>
      <c r="C149" s="1">
        <v>811</v>
      </c>
      <c r="D149" s="1">
        <v>3</v>
      </c>
      <c r="E149" s="1">
        <v>6</v>
      </c>
      <c r="F149" s="1">
        <v>5</v>
      </c>
      <c r="G149" s="1">
        <v>3</v>
      </c>
      <c r="H149" s="1">
        <v>1</v>
      </c>
      <c r="I149" s="1">
        <v>5</v>
      </c>
      <c r="J149" s="1">
        <v>0</v>
      </c>
      <c r="K149" s="1">
        <v>2</v>
      </c>
      <c r="L149" s="1">
        <v>2</v>
      </c>
      <c r="M149" s="1">
        <v>1</v>
      </c>
      <c r="N149" s="1">
        <v>0</v>
      </c>
      <c r="O149" s="1">
        <v>1</v>
      </c>
      <c r="P149" s="1">
        <v>1</v>
      </c>
      <c r="Q149" s="1">
        <v>3</v>
      </c>
      <c r="R149" s="1">
        <v>5</v>
      </c>
      <c r="S149" s="1">
        <v>3</v>
      </c>
      <c r="T149" s="1">
        <v>3</v>
      </c>
      <c r="U149" s="1">
        <v>2</v>
      </c>
      <c r="V149" s="1">
        <v>4</v>
      </c>
      <c r="W149" s="1">
        <v>5</v>
      </c>
      <c r="X149" s="1">
        <v>3</v>
      </c>
      <c r="Y149" s="1">
        <v>4</v>
      </c>
      <c r="Z149" s="1">
        <v>3</v>
      </c>
      <c r="AA149" s="1">
        <v>5</v>
      </c>
      <c r="AB149" s="1">
        <v>5</v>
      </c>
      <c r="AC149" s="1">
        <v>4</v>
      </c>
      <c r="AD149" s="1">
        <v>7</v>
      </c>
      <c r="AE149" s="1">
        <v>6</v>
      </c>
      <c r="AF149" s="1">
        <v>3</v>
      </c>
      <c r="AG149" s="1">
        <v>4</v>
      </c>
      <c r="AH149" s="1">
        <v>5</v>
      </c>
      <c r="AI149" s="1">
        <v>1</v>
      </c>
      <c r="AJ149" s="1">
        <v>4</v>
      </c>
      <c r="AK149" s="1">
        <v>7</v>
      </c>
      <c r="AL149" s="1">
        <v>4</v>
      </c>
      <c r="AM149" s="1">
        <v>6</v>
      </c>
      <c r="AN149" s="1">
        <v>4</v>
      </c>
      <c r="AO149" s="1">
        <v>4</v>
      </c>
      <c r="AP149" s="1">
        <v>7</v>
      </c>
      <c r="AQ149" s="1">
        <v>7</v>
      </c>
      <c r="AR149" s="1">
        <v>5</v>
      </c>
      <c r="AS149" s="1">
        <v>16</v>
      </c>
      <c r="AT149" s="1">
        <v>37</v>
      </c>
      <c r="AU149" s="1">
        <v>69</v>
      </c>
      <c r="AV149" s="1">
        <v>110</v>
      </c>
      <c r="AW149" s="1">
        <v>124</v>
      </c>
      <c r="AX149" s="1">
        <v>112</v>
      </c>
      <c r="AY149" s="1">
        <v>82</v>
      </c>
      <c r="AZ149" s="1">
        <v>53</v>
      </c>
      <c r="BA149" s="1">
        <v>41</v>
      </c>
      <c r="BB149" s="1">
        <v>12</v>
      </c>
      <c r="BC149" s="1">
        <v>2</v>
      </c>
    </row>
    <row r="150" spans="1:255" ht="16.5" customHeight="1">
      <c r="A150" s="1" t="s">
        <v>68</v>
      </c>
      <c r="B150" s="1">
        <v>2021</v>
      </c>
      <c r="C150" s="1">
        <v>1120</v>
      </c>
      <c r="D150" s="1">
        <v>5</v>
      </c>
      <c r="E150" s="1">
        <v>6</v>
      </c>
      <c r="F150" s="1">
        <v>4</v>
      </c>
      <c r="G150" s="1">
        <v>7</v>
      </c>
      <c r="H150" s="1">
        <v>2</v>
      </c>
      <c r="I150" s="1">
        <v>3</v>
      </c>
      <c r="J150" s="1">
        <v>1</v>
      </c>
      <c r="K150" s="1">
        <v>1</v>
      </c>
      <c r="L150" s="1">
        <v>4</v>
      </c>
      <c r="M150" s="1">
        <v>4</v>
      </c>
      <c r="N150" s="1">
        <v>3</v>
      </c>
      <c r="O150" s="1">
        <v>2</v>
      </c>
      <c r="P150" s="1">
        <v>3</v>
      </c>
      <c r="Q150" s="1">
        <v>4</v>
      </c>
      <c r="R150" s="1">
        <v>3</v>
      </c>
      <c r="S150" s="1">
        <v>3</v>
      </c>
      <c r="T150" s="1">
        <v>5</v>
      </c>
      <c r="U150" s="1">
        <v>2</v>
      </c>
      <c r="V150" s="1">
        <v>3</v>
      </c>
      <c r="W150" s="1">
        <v>2</v>
      </c>
      <c r="X150" s="1">
        <v>4</v>
      </c>
      <c r="Y150" s="1">
        <v>9</v>
      </c>
      <c r="Z150" s="1">
        <v>5</v>
      </c>
      <c r="AA150" s="1">
        <v>5</v>
      </c>
      <c r="AB150" s="1">
        <v>5</v>
      </c>
      <c r="AC150" s="1">
        <v>7</v>
      </c>
      <c r="AD150" s="1">
        <v>6</v>
      </c>
      <c r="AE150" s="1">
        <v>4</v>
      </c>
      <c r="AF150" s="1">
        <v>11</v>
      </c>
      <c r="AG150" s="1">
        <v>7</v>
      </c>
      <c r="AH150" s="1">
        <v>6</v>
      </c>
      <c r="AI150" s="1">
        <v>9</v>
      </c>
      <c r="AJ150" s="1">
        <v>14</v>
      </c>
      <c r="AK150" s="1">
        <v>0</v>
      </c>
      <c r="AL150" s="1">
        <v>8</v>
      </c>
      <c r="AM150" s="1">
        <v>5</v>
      </c>
      <c r="AN150" s="1">
        <v>4</v>
      </c>
      <c r="AO150" s="1">
        <v>3</v>
      </c>
      <c r="AP150" s="1">
        <v>5</v>
      </c>
      <c r="AQ150" s="1">
        <v>6</v>
      </c>
      <c r="AR150" s="1">
        <v>17</v>
      </c>
      <c r="AS150" s="1">
        <v>70</v>
      </c>
      <c r="AT150" s="1">
        <v>81</v>
      </c>
      <c r="AU150" s="1">
        <v>96</v>
      </c>
      <c r="AV150" s="1">
        <v>80</v>
      </c>
      <c r="AW150" s="1">
        <v>133</v>
      </c>
      <c r="AX150" s="1">
        <v>195</v>
      </c>
      <c r="AY150" s="1">
        <v>157</v>
      </c>
      <c r="AZ150" s="1">
        <v>47</v>
      </c>
      <c r="BA150" s="1">
        <v>28</v>
      </c>
      <c r="BB150" s="1">
        <v>20</v>
      </c>
      <c r="BC150" s="1">
        <v>6</v>
      </c>
    </row>
    <row r="151" spans="1:255" ht="16.5" customHeight="1">
      <c r="A151" s="1" t="s">
        <v>68</v>
      </c>
      <c r="B151" s="1">
        <v>2022</v>
      </c>
      <c r="C151" s="1">
        <v>1024</v>
      </c>
      <c r="D151" s="1">
        <v>1</v>
      </c>
      <c r="E151" s="1">
        <v>10</v>
      </c>
      <c r="F151" s="1">
        <v>5</v>
      </c>
      <c r="G151" s="1">
        <v>9</v>
      </c>
      <c r="H151" s="1">
        <v>1</v>
      </c>
      <c r="I151" s="1">
        <v>5</v>
      </c>
      <c r="J151" s="1">
        <v>2</v>
      </c>
      <c r="K151" s="1">
        <v>2</v>
      </c>
      <c r="L151" s="1">
        <v>5</v>
      </c>
      <c r="M151" s="1">
        <v>2</v>
      </c>
      <c r="N151" s="1">
        <v>2</v>
      </c>
      <c r="O151" s="1">
        <v>2</v>
      </c>
      <c r="P151" s="1">
        <v>0</v>
      </c>
      <c r="Q151" s="1">
        <v>2</v>
      </c>
      <c r="R151" s="1">
        <v>4</v>
      </c>
      <c r="S151" s="1">
        <v>1</v>
      </c>
      <c r="T151" s="1">
        <v>4</v>
      </c>
      <c r="U151" s="1">
        <v>6</v>
      </c>
      <c r="V151" s="1">
        <v>6</v>
      </c>
      <c r="W151" s="1">
        <v>9</v>
      </c>
      <c r="X151" s="1">
        <v>12</v>
      </c>
      <c r="Y151" s="1">
        <v>9</v>
      </c>
      <c r="Z151" s="1">
        <v>8</v>
      </c>
      <c r="AA151" s="1">
        <v>9</v>
      </c>
      <c r="AB151" s="1">
        <v>16</v>
      </c>
      <c r="AC151" s="1">
        <v>11</v>
      </c>
      <c r="AD151" s="1">
        <v>12</v>
      </c>
      <c r="AE151" s="1">
        <v>6</v>
      </c>
      <c r="AF151" s="1">
        <v>10</v>
      </c>
      <c r="AG151" s="1">
        <v>6</v>
      </c>
      <c r="AH151" s="1">
        <v>9</v>
      </c>
      <c r="AI151" s="1">
        <v>8</v>
      </c>
      <c r="AJ151" s="1">
        <v>8</v>
      </c>
      <c r="AK151" s="1">
        <v>2</v>
      </c>
      <c r="AL151" s="1">
        <v>6</v>
      </c>
      <c r="AM151" s="1">
        <v>9</v>
      </c>
      <c r="AN151" s="1">
        <v>3</v>
      </c>
      <c r="AO151" s="1">
        <v>9</v>
      </c>
      <c r="AP151" s="1">
        <v>12</v>
      </c>
      <c r="AQ151" s="1">
        <v>11</v>
      </c>
      <c r="AR151" s="1">
        <v>11</v>
      </c>
      <c r="AS151" s="1">
        <v>21</v>
      </c>
      <c r="AT151" s="1">
        <v>70</v>
      </c>
      <c r="AU151" s="1">
        <v>94</v>
      </c>
      <c r="AV151" s="1">
        <v>143</v>
      </c>
      <c r="AW151" s="1">
        <v>135</v>
      </c>
      <c r="AX151" s="1">
        <v>117</v>
      </c>
      <c r="AY151" s="1">
        <v>65</v>
      </c>
      <c r="AZ151" s="1">
        <v>36</v>
      </c>
      <c r="BA151" s="1">
        <v>35</v>
      </c>
      <c r="BB151" s="1">
        <v>25</v>
      </c>
      <c r="BC151" s="1">
        <v>13</v>
      </c>
    </row>
    <row r="152" spans="1:255" ht="16.5" customHeight="1">
      <c r="A152" s="1" t="s">
        <v>68</v>
      </c>
      <c r="B152" s="1">
        <v>2023</v>
      </c>
      <c r="C152" s="1">
        <v>1024</v>
      </c>
      <c r="D152" s="1">
        <v>8</v>
      </c>
      <c r="E152" s="1">
        <v>4</v>
      </c>
      <c r="F152" s="1">
        <v>2</v>
      </c>
      <c r="G152" s="1">
        <v>2</v>
      </c>
      <c r="H152" s="1">
        <v>4</v>
      </c>
      <c r="I152" s="1">
        <v>3</v>
      </c>
      <c r="J152" s="1">
        <v>3</v>
      </c>
      <c r="K152" s="1">
        <v>6</v>
      </c>
      <c r="L152" s="1">
        <v>3</v>
      </c>
      <c r="M152" s="1">
        <v>6</v>
      </c>
      <c r="N152" s="1">
        <v>6</v>
      </c>
      <c r="O152" s="1">
        <v>5</v>
      </c>
      <c r="P152" s="1">
        <v>8</v>
      </c>
      <c r="Q152" s="1">
        <v>7</v>
      </c>
      <c r="R152" s="1">
        <v>8</v>
      </c>
      <c r="S152" s="1">
        <v>6</v>
      </c>
      <c r="T152" s="1">
        <v>12</v>
      </c>
      <c r="U152" s="1">
        <v>8</v>
      </c>
      <c r="V152" s="1">
        <v>13</v>
      </c>
      <c r="W152" s="1">
        <v>12</v>
      </c>
      <c r="X152" s="1">
        <v>11</v>
      </c>
      <c r="Y152" s="1">
        <v>10</v>
      </c>
      <c r="Z152" s="1">
        <v>15</v>
      </c>
      <c r="AA152" s="1">
        <v>9</v>
      </c>
      <c r="AB152" s="1">
        <v>14</v>
      </c>
      <c r="AC152" s="1">
        <v>7</v>
      </c>
      <c r="AD152" s="1">
        <v>6</v>
      </c>
      <c r="AE152" s="1">
        <v>4</v>
      </c>
      <c r="AF152" s="1">
        <v>5</v>
      </c>
      <c r="AG152" s="1">
        <v>3</v>
      </c>
      <c r="AH152" s="1">
        <v>7</v>
      </c>
      <c r="AI152" s="1">
        <v>7</v>
      </c>
      <c r="AJ152" s="1">
        <v>8</v>
      </c>
      <c r="AK152" s="1">
        <v>11</v>
      </c>
      <c r="AL152" s="1">
        <v>7</v>
      </c>
      <c r="AM152" s="1">
        <v>4</v>
      </c>
      <c r="AN152" s="1">
        <v>8</v>
      </c>
      <c r="AO152" s="1">
        <v>4</v>
      </c>
      <c r="AP152" s="1">
        <v>8</v>
      </c>
      <c r="AQ152" s="1">
        <v>8</v>
      </c>
      <c r="AR152" s="1">
        <v>9</v>
      </c>
      <c r="AS152" s="1">
        <v>26</v>
      </c>
      <c r="AT152" s="1">
        <v>59</v>
      </c>
      <c r="AU152" s="1">
        <v>117</v>
      </c>
      <c r="AV152" s="1">
        <v>116</v>
      </c>
      <c r="AW152" s="1">
        <v>131</v>
      </c>
      <c r="AX152" s="1">
        <v>121</v>
      </c>
      <c r="AY152" s="1">
        <v>69</v>
      </c>
      <c r="AZ152" s="1">
        <v>41</v>
      </c>
      <c r="BA152" s="1">
        <v>24</v>
      </c>
      <c r="BB152" s="1">
        <v>18</v>
      </c>
      <c r="BC152" s="1">
        <v>11</v>
      </c>
    </row>
    <row r="153" spans="1:255" ht="16.5" customHeight="1">
      <c r="A153" s="1" t="s">
        <v>68</v>
      </c>
      <c r="B153" s="1">
        <v>2024</v>
      </c>
      <c r="C153" s="1">
        <v>1077</v>
      </c>
      <c r="D153" s="1">
        <v>19</v>
      </c>
      <c r="E153" s="1">
        <v>23</v>
      </c>
      <c r="F153" s="1">
        <v>15</v>
      </c>
      <c r="G153" s="1">
        <v>10</v>
      </c>
      <c r="H153" s="1">
        <v>8</v>
      </c>
      <c r="I153" s="1">
        <v>4</v>
      </c>
      <c r="J153" s="1">
        <v>9</v>
      </c>
      <c r="K153" s="1">
        <v>6</v>
      </c>
      <c r="L153" s="1">
        <v>8</v>
      </c>
      <c r="M153" s="1">
        <v>1</v>
      </c>
      <c r="N153" s="1">
        <v>4</v>
      </c>
      <c r="O153" s="1">
        <v>5</v>
      </c>
      <c r="P153" s="1">
        <v>2</v>
      </c>
      <c r="Q153" s="1">
        <v>4</v>
      </c>
      <c r="R153" s="1">
        <v>5</v>
      </c>
      <c r="S153" s="1">
        <v>10</v>
      </c>
      <c r="T153" s="1">
        <v>11</v>
      </c>
      <c r="U153" s="1">
        <v>4</v>
      </c>
      <c r="V153" s="1">
        <v>8</v>
      </c>
      <c r="W153" s="1">
        <v>10</v>
      </c>
      <c r="X153" s="1">
        <v>12</v>
      </c>
      <c r="Y153" s="1">
        <v>18</v>
      </c>
      <c r="Z153" s="1">
        <v>15</v>
      </c>
      <c r="AA153" s="1">
        <v>12</v>
      </c>
      <c r="AB153" s="1">
        <v>9</v>
      </c>
      <c r="AC153" s="1">
        <v>17</v>
      </c>
      <c r="AD153" s="1">
        <v>21</v>
      </c>
      <c r="AE153" s="1">
        <v>12</v>
      </c>
      <c r="AF153" s="1">
        <v>10</v>
      </c>
      <c r="AG153" s="1">
        <v>10</v>
      </c>
      <c r="AH153" s="1">
        <v>8</v>
      </c>
      <c r="AI153" s="1">
        <v>14</v>
      </c>
      <c r="AJ153" s="1">
        <v>8</v>
      </c>
      <c r="AK153" s="1">
        <v>14</v>
      </c>
      <c r="AL153" s="1">
        <v>11</v>
      </c>
      <c r="AM153" s="1">
        <v>4</v>
      </c>
      <c r="AN153" s="1">
        <v>6</v>
      </c>
      <c r="AO153" s="1">
        <v>0</v>
      </c>
      <c r="AP153" s="1">
        <v>1</v>
      </c>
      <c r="AQ153" s="1">
        <v>1</v>
      </c>
      <c r="AR153" s="1">
        <v>5</v>
      </c>
      <c r="AS153" s="1">
        <v>11</v>
      </c>
      <c r="AT153" s="1">
        <v>57</v>
      </c>
      <c r="AU153" s="1">
        <v>123</v>
      </c>
      <c r="AV153" s="1">
        <v>112</v>
      </c>
      <c r="AW153" s="1">
        <v>58</v>
      </c>
      <c r="AX153" s="1">
        <v>66</v>
      </c>
      <c r="AY153" s="1">
        <v>87</v>
      </c>
      <c r="AZ153" s="1">
        <v>105</v>
      </c>
      <c r="BA153" s="1">
        <v>54</v>
      </c>
      <c r="BB153" s="1">
        <v>19</v>
      </c>
      <c r="BC153" s="1">
        <v>11</v>
      </c>
    </row>
    <row r="154" spans="1:255" ht="16.5" customHeight="1">
      <c r="A154" s="1" t="s">
        <v>68</v>
      </c>
      <c r="B154" s="1">
        <v>2025</v>
      </c>
      <c r="C154" s="1">
        <v>423</v>
      </c>
      <c r="D154" s="1">
        <v>8</v>
      </c>
      <c r="E154" s="1">
        <v>1</v>
      </c>
      <c r="F154" s="1">
        <v>1</v>
      </c>
      <c r="G154" s="1">
        <v>1</v>
      </c>
      <c r="H154" s="1">
        <v>0</v>
      </c>
      <c r="I154" s="1">
        <v>1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2</v>
      </c>
      <c r="Q154" s="1">
        <v>0</v>
      </c>
      <c r="R154" s="1">
        <v>1</v>
      </c>
      <c r="S154" s="1">
        <v>1</v>
      </c>
      <c r="T154" s="1">
        <v>1</v>
      </c>
      <c r="U154" s="1">
        <v>2</v>
      </c>
      <c r="V154" s="1">
        <v>0</v>
      </c>
      <c r="W154" s="1">
        <v>1</v>
      </c>
      <c r="X154" s="1">
        <v>1</v>
      </c>
      <c r="Y154" s="1">
        <v>3</v>
      </c>
      <c r="Z154" s="1">
        <v>4</v>
      </c>
      <c r="AA154" s="1">
        <v>1</v>
      </c>
      <c r="AB154" s="1">
        <v>1</v>
      </c>
      <c r="AC154" s="1">
        <v>4</v>
      </c>
      <c r="AD154" s="1">
        <v>2</v>
      </c>
      <c r="AE154" s="1">
        <v>1</v>
      </c>
      <c r="AF154" s="1">
        <v>2</v>
      </c>
      <c r="AG154" s="1">
        <v>0</v>
      </c>
      <c r="AH154" s="1">
        <v>2</v>
      </c>
      <c r="AI154" s="1">
        <v>0</v>
      </c>
      <c r="AJ154" s="1">
        <v>2</v>
      </c>
      <c r="AK154" s="1">
        <v>2</v>
      </c>
      <c r="AL154" s="1">
        <v>3</v>
      </c>
      <c r="AM154" s="1">
        <v>3</v>
      </c>
      <c r="AN154" s="1">
        <v>1</v>
      </c>
      <c r="AO154" s="1">
        <v>0</v>
      </c>
      <c r="AP154" s="1">
        <v>1</v>
      </c>
      <c r="AQ154" s="1">
        <v>3</v>
      </c>
      <c r="AR154" s="1">
        <v>2</v>
      </c>
      <c r="AS154" s="1">
        <v>12</v>
      </c>
      <c r="AT154" s="1">
        <v>37</v>
      </c>
      <c r="AU154" s="1">
        <v>37</v>
      </c>
      <c r="AV154" s="1">
        <v>45</v>
      </c>
      <c r="AW154" s="1">
        <v>63</v>
      </c>
      <c r="AX154" s="1">
        <v>63</v>
      </c>
      <c r="AY154" s="1">
        <v>55</v>
      </c>
      <c r="AZ154" s="1">
        <v>34</v>
      </c>
      <c r="BA154" s="1">
        <v>10</v>
      </c>
      <c r="BB154" s="1">
        <v>4</v>
      </c>
      <c r="BC154" s="1">
        <v>5</v>
      </c>
    </row>
    <row r="155" spans="1:255" ht="16.5" customHeight="1">
      <c r="A155" s="2" t="s">
        <v>2</v>
      </c>
      <c r="B155" s="2"/>
      <c r="C155" s="2">
        <f t="shared" ref="C155:AH155" si="26">SUM(C145:C154)</f>
        <v>10596</v>
      </c>
      <c r="D155" s="2">
        <f t="shared" si="26"/>
        <v>63</v>
      </c>
      <c r="E155" s="2">
        <f t="shared" si="26"/>
        <v>64</v>
      </c>
      <c r="F155" s="2">
        <f t="shared" si="26"/>
        <v>39</v>
      </c>
      <c r="G155" s="2">
        <f t="shared" si="26"/>
        <v>49</v>
      </c>
      <c r="H155" s="2">
        <f t="shared" si="26"/>
        <v>21</v>
      </c>
      <c r="I155" s="2">
        <f t="shared" si="26"/>
        <v>31</v>
      </c>
      <c r="J155" s="2">
        <f t="shared" si="26"/>
        <v>20</v>
      </c>
      <c r="K155" s="2">
        <f t="shared" si="26"/>
        <v>24</v>
      </c>
      <c r="L155" s="2">
        <f t="shared" si="26"/>
        <v>29</v>
      </c>
      <c r="M155" s="2">
        <f t="shared" si="26"/>
        <v>24</v>
      </c>
      <c r="N155" s="2">
        <f t="shared" si="26"/>
        <v>26</v>
      </c>
      <c r="O155" s="2">
        <f t="shared" si="26"/>
        <v>31</v>
      </c>
      <c r="P155" s="2">
        <f t="shared" si="26"/>
        <v>28</v>
      </c>
      <c r="Q155" s="2">
        <f t="shared" si="26"/>
        <v>45</v>
      </c>
      <c r="R155" s="2">
        <f t="shared" si="26"/>
        <v>47</v>
      </c>
      <c r="S155" s="2">
        <f t="shared" si="26"/>
        <v>47</v>
      </c>
      <c r="T155" s="2">
        <f t="shared" si="26"/>
        <v>71</v>
      </c>
      <c r="U155" s="2">
        <f t="shared" si="26"/>
        <v>71</v>
      </c>
      <c r="V155" s="2">
        <f t="shared" si="26"/>
        <v>92</v>
      </c>
      <c r="W155" s="2">
        <f t="shared" si="26"/>
        <v>74</v>
      </c>
      <c r="X155" s="2">
        <f t="shared" si="26"/>
        <v>76</v>
      </c>
      <c r="Y155" s="2">
        <f t="shared" si="26"/>
        <v>93</v>
      </c>
      <c r="Z155" s="2">
        <f t="shared" si="26"/>
        <v>90</v>
      </c>
      <c r="AA155" s="2">
        <f t="shared" si="26"/>
        <v>99</v>
      </c>
      <c r="AB155" s="2">
        <f t="shared" si="26"/>
        <v>88</v>
      </c>
      <c r="AC155" s="2">
        <f t="shared" si="26"/>
        <v>96</v>
      </c>
      <c r="AD155" s="2">
        <f t="shared" si="26"/>
        <v>102</v>
      </c>
      <c r="AE155" s="2">
        <f t="shared" si="26"/>
        <v>71</v>
      </c>
      <c r="AF155" s="2">
        <f t="shared" si="26"/>
        <v>71</v>
      </c>
      <c r="AG155" s="2">
        <f t="shared" si="26"/>
        <v>67</v>
      </c>
      <c r="AH155" s="2">
        <f t="shared" si="26"/>
        <v>63</v>
      </c>
      <c r="AI155" s="2">
        <f t="shared" ref="AI155:BD155" si="27">SUM(AI145:AI154)</f>
        <v>69</v>
      </c>
      <c r="AJ155" s="2">
        <f t="shared" si="27"/>
        <v>74</v>
      </c>
      <c r="AK155" s="2">
        <f t="shared" si="27"/>
        <v>55</v>
      </c>
      <c r="AL155" s="2">
        <f t="shared" si="27"/>
        <v>72</v>
      </c>
      <c r="AM155" s="2">
        <f t="shared" si="27"/>
        <v>70</v>
      </c>
      <c r="AN155" s="2">
        <f t="shared" si="27"/>
        <v>59</v>
      </c>
      <c r="AO155" s="2">
        <f t="shared" si="27"/>
        <v>61</v>
      </c>
      <c r="AP155" s="2">
        <f t="shared" si="27"/>
        <v>97</v>
      </c>
      <c r="AQ155" s="2">
        <f t="shared" si="27"/>
        <v>81</v>
      </c>
      <c r="AR155" s="2">
        <f t="shared" si="27"/>
        <v>149</v>
      </c>
      <c r="AS155" s="2">
        <f t="shared" si="27"/>
        <v>372</v>
      </c>
      <c r="AT155" s="2">
        <f t="shared" si="27"/>
        <v>638</v>
      </c>
      <c r="AU155" s="2">
        <f t="shared" si="27"/>
        <v>1000</v>
      </c>
      <c r="AV155" s="2">
        <f t="shared" si="27"/>
        <v>1433</v>
      </c>
      <c r="AW155" s="2">
        <f t="shared" si="27"/>
        <v>1455</v>
      </c>
      <c r="AX155" s="2">
        <f t="shared" si="27"/>
        <v>1145</v>
      </c>
      <c r="AY155" s="2">
        <f t="shared" si="27"/>
        <v>874</v>
      </c>
      <c r="AZ155" s="2">
        <f t="shared" si="27"/>
        <v>535</v>
      </c>
      <c r="BA155" s="2">
        <f t="shared" si="27"/>
        <v>306</v>
      </c>
      <c r="BB155" s="2">
        <f t="shared" si="27"/>
        <v>156</v>
      </c>
      <c r="BC155" s="2">
        <f t="shared" si="27"/>
        <v>74</v>
      </c>
      <c r="BD155" s="2">
        <f t="shared" si="27"/>
        <v>4</v>
      </c>
    </row>
    <row r="156" spans="1:255" ht="16.5" customHeight="1">
      <c r="A156" s="4" t="s">
        <v>69</v>
      </c>
      <c r="B156" s="4">
        <v>2016</v>
      </c>
      <c r="C156" s="4">
        <v>1031</v>
      </c>
      <c r="D156" s="5">
        <v>2</v>
      </c>
      <c r="E156" s="4">
        <v>4</v>
      </c>
      <c r="F156" s="4">
        <v>2</v>
      </c>
      <c r="G156" s="4">
        <v>1</v>
      </c>
      <c r="H156" s="4">
        <v>3</v>
      </c>
      <c r="I156" s="4">
        <v>1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1</v>
      </c>
      <c r="T156" s="4">
        <v>1</v>
      </c>
      <c r="U156" s="4">
        <v>3</v>
      </c>
      <c r="V156" s="4">
        <v>1</v>
      </c>
      <c r="W156" s="4">
        <v>6</v>
      </c>
      <c r="X156" s="4">
        <v>7</v>
      </c>
      <c r="Y156" s="4">
        <v>2</v>
      </c>
      <c r="Z156" s="4">
        <v>2</v>
      </c>
      <c r="AA156" s="4">
        <v>3</v>
      </c>
      <c r="AB156" s="4">
        <v>4</v>
      </c>
      <c r="AC156" s="4">
        <v>1</v>
      </c>
      <c r="AD156" s="4">
        <v>1</v>
      </c>
      <c r="AE156" s="4">
        <v>2</v>
      </c>
      <c r="AF156" s="4">
        <v>0</v>
      </c>
      <c r="AG156" s="4">
        <v>1</v>
      </c>
      <c r="AH156" s="4">
        <v>1</v>
      </c>
      <c r="AI156" s="4">
        <v>0</v>
      </c>
      <c r="AJ156" s="4">
        <v>1</v>
      </c>
      <c r="AK156" s="4">
        <v>0</v>
      </c>
      <c r="AL156" s="4">
        <v>1</v>
      </c>
      <c r="AM156" s="4">
        <v>1</v>
      </c>
      <c r="AN156" s="4">
        <v>3</v>
      </c>
      <c r="AO156" s="4">
        <v>1</v>
      </c>
      <c r="AP156" s="4">
        <v>2</v>
      </c>
      <c r="AQ156" s="4">
        <v>8</v>
      </c>
      <c r="AR156" s="4">
        <v>11</v>
      </c>
      <c r="AS156" s="4">
        <v>28</v>
      </c>
      <c r="AT156" s="4">
        <v>37</v>
      </c>
      <c r="AU156" s="4">
        <v>73</v>
      </c>
      <c r="AV156" s="4">
        <v>224</v>
      </c>
      <c r="AW156" s="4">
        <v>287</v>
      </c>
      <c r="AX156" s="4">
        <v>123</v>
      </c>
      <c r="AY156" s="4">
        <v>80</v>
      </c>
      <c r="AZ156" s="4">
        <v>60</v>
      </c>
      <c r="BA156" s="4">
        <v>23</v>
      </c>
      <c r="BB156" s="4">
        <v>14</v>
      </c>
      <c r="BC156" s="4">
        <v>3</v>
      </c>
      <c r="BD156" s="4">
        <v>2</v>
      </c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  <c r="EM156" s="4"/>
      <c r="EN156" s="4"/>
      <c r="EO156" s="4"/>
      <c r="EP156" s="4"/>
      <c r="EQ156" s="4"/>
      <c r="ER156" s="4"/>
      <c r="ES156" s="4"/>
      <c r="ET156" s="4"/>
      <c r="EU156" s="4"/>
      <c r="EV156" s="4"/>
      <c r="EW156" s="4"/>
      <c r="EX156" s="4"/>
      <c r="EY156" s="4"/>
      <c r="EZ156" s="4"/>
      <c r="FA156" s="4"/>
      <c r="FB156" s="4"/>
      <c r="FC156" s="4"/>
      <c r="FD156" s="4"/>
      <c r="FE156" s="4"/>
      <c r="FF156" s="4"/>
      <c r="FG156" s="4"/>
      <c r="FH156" s="4"/>
      <c r="FI156" s="4"/>
      <c r="FJ156" s="4"/>
      <c r="FK156" s="4"/>
      <c r="FL156" s="4"/>
      <c r="FM156" s="4"/>
      <c r="FN156" s="4"/>
      <c r="FO156" s="4"/>
      <c r="FP156" s="4"/>
      <c r="FQ156" s="4"/>
      <c r="FR156" s="4"/>
      <c r="FS156" s="4"/>
      <c r="FT156" s="4"/>
      <c r="FU156" s="4"/>
      <c r="FV156" s="4"/>
      <c r="FW156" s="4"/>
      <c r="FX156" s="4"/>
      <c r="FY156" s="4"/>
      <c r="FZ156" s="4"/>
      <c r="GA156" s="4"/>
      <c r="GB156" s="4"/>
      <c r="GC156" s="4"/>
      <c r="GD156" s="4"/>
      <c r="GE156" s="4"/>
      <c r="GF156" s="4"/>
      <c r="GG156" s="4"/>
      <c r="GH156" s="4"/>
      <c r="GI156" s="4"/>
      <c r="GJ156" s="4"/>
      <c r="GK156" s="4"/>
      <c r="GL156" s="4"/>
      <c r="GM156" s="4"/>
      <c r="GN156" s="4"/>
      <c r="GO156" s="4"/>
      <c r="GP156" s="4"/>
      <c r="GQ156" s="4"/>
      <c r="GR156" s="4"/>
      <c r="GS156" s="4"/>
      <c r="GT156" s="4"/>
      <c r="GU156" s="4"/>
      <c r="GV156" s="4"/>
      <c r="GW156" s="4"/>
      <c r="GX156" s="4"/>
      <c r="GY156" s="4"/>
      <c r="GZ156" s="4"/>
      <c r="HA156" s="4"/>
      <c r="HB156" s="4"/>
      <c r="HC156" s="4"/>
      <c r="HD156" s="4"/>
      <c r="HE156" s="4"/>
      <c r="HF156" s="4"/>
      <c r="HG156" s="4"/>
      <c r="HH156" s="4"/>
      <c r="HI156" s="4"/>
      <c r="HJ156" s="4"/>
      <c r="HK156" s="4"/>
      <c r="HL156" s="4"/>
      <c r="HM156" s="4"/>
      <c r="HN156" s="4"/>
      <c r="HO156" s="4"/>
      <c r="HP156" s="4"/>
      <c r="HQ156" s="4"/>
      <c r="HR156" s="4"/>
      <c r="HS156" s="4"/>
      <c r="HT156" s="4"/>
      <c r="HU156" s="4"/>
      <c r="HV156" s="4"/>
      <c r="HW156" s="4"/>
      <c r="HX156" s="4"/>
      <c r="HY156" s="4"/>
      <c r="HZ156" s="4"/>
      <c r="IA156" s="4"/>
      <c r="IB156" s="4"/>
      <c r="IC156" s="4"/>
      <c r="ID156" s="4"/>
      <c r="IE156" s="4"/>
      <c r="IF156" s="4"/>
      <c r="IG156" s="4"/>
      <c r="IH156" s="4"/>
      <c r="II156" s="4"/>
      <c r="IJ156" s="4"/>
      <c r="IK156" s="4"/>
      <c r="IL156" s="4"/>
      <c r="IM156" s="4"/>
      <c r="IN156" s="4"/>
      <c r="IO156" s="4"/>
      <c r="IP156" s="4"/>
      <c r="IQ156" s="4"/>
      <c r="IR156" s="4"/>
      <c r="IS156" s="4"/>
      <c r="IT156" s="4"/>
      <c r="IU156" s="4"/>
    </row>
    <row r="157" spans="1:255" ht="16.5" customHeight="1">
      <c r="A157" s="1" t="s">
        <v>69</v>
      </c>
      <c r="B157" s="1">
        <v>2017</v>
      </c>
      <c r="C157" s="1">
        <v>1067</v>
      </c>
      <c r="D157" s="1">
        <v>1</v>
      </c>
      <c r="E157" s="1">
        <v>1</v>
      </c>
      <c r="F157" s="1">
        <v>0</v>
      </c>
      <c r="G157" s="1">
        <v>1</v>
      </c>
      <c r="H157" s="1">
        <v>0</v>
      </c>
      <c r="I157" s="1">
        <v>0</v>
      </c>
      <c r="J157" s="1">
        <v>0</v>
      </c>
      <c r="K157" s="1">
        <v>0</v>
      </c>
      <c r="L157" s="1">
        <v>1</v>
      </c>
      <c r="M157" s="1">
        <v>0</v>
      </c>
      <c r="N157" s="1">
        <v>1</v>
      </c>
      <c r="O157" s="1">
        <v>0</v>
      </c>
      <c r="P157" s="1">
        <v>1</v>
      </c>
      <c r="Q157" s="1">
        <v>1</v>
      </c>
      <c r="R157" s="1">
        <v>1</v>
      </c>
      <c r="S157" s="1">
        <v>2</v>
      </c>
      <c r="T157" s="1">
        <v>4</v>
      </c>
      <c r="U157" s="1">
        <v>1</v>
      </c>
      <c r="V157" s="1">
        <v>7</v>
      </c>
      <c r="W157" s="1">
        <v>2</v>
      </c>
      <c r="X157" s="1">
        <v>5</v>
      </c>
      <c r="Y157" s="1">
        <v>5</v>
      </c>
      <c r="Z157" s="1">
        <v>2</v>
      </c>
      <c r="AA157" s="1">
        <v>5</v>
      </c>
      <c r="AB157" s="1">
        <v>3</v>
      </c>
      <c r="AC157" s="1">
        <v>6</v>
      </c>
      <c r="AD157" s="1">
        <v>11</v>
      </c>
      <c r="AE157" s="1">
        <v>3</v>
      </c>
      <c r="AF157" s="1">
        <v>5</v>
      </c>
      <c r="AG157" s="1">
        <v>1</v>
      </c>
      <c r="AH157" s="1">
        <v>3</v>
      </c>
      <c r="AI157" s="1">
        <v>4</v>
      </c>
      <c r="AJ157" s="1">
        <v>4</v>
      </c>
      <c r="AK157" s="1">
        <v>4</v>
      </c>
      <c r="AL157" s="1">
        <v>4</v>
      </c>
      <c r="AM157" s="1">
        <v>2</v>
      </c>
      <c r="AN157" s="1">
        <v>7</v>
      </c>
      <c r="AO157" s="1">
        <v>9</v>
      </c>
      <c r="AP157" s="1">
        <v>16</v>
      </c>
      <c r="AQ157" s="1">
        <v>17</v>
      </c>
      <c r="AR157" s="1">
        <v>32</v>
      </c>
      <c r="AS157" s="1">
        <v>93</v>
      </c>
      <c r="AT157" s="1">
        <v>139</v>
      </c>
      <c r="AU157" s="1">
        <v>182</v>
      </c>
      <c r="AV157" s="1">
        <v>194</v>
      </c>
      <c r="AW157" s="1">
        <v>138</v>
      </c>
      <c r="AX157" s="1">
        <v>64</v>
      </c>
      <c r="AY157" s="1">
        <v>40</v>
      </c>
      <c r="AZ157" s="1">
        <v>22</v>
      </c>
      <c r="BA157" s="1">
        <v>9</v>
      </c>
      <c r="BB157" s="1">
        <v>8</v>
      </c>
      <c r="BC157" s="1">
        <v>6</v>
      </c>
    </row>
    <row r="158" spans="1:255" ht="16.5" customHeight="1">
      <c r="A158" s="3" t="s">
        <v>69</v>
      </c>
      <c r="B158" s="3">
        <v>2018</v>
      </c>
      <c r="C158" s="3">
        <v>652</v>
      </c>
      <c r="D158" s="3">
        <v>2</v>
      </c>
      <c r="E158" s="3">
        <v>1</v>
      </c>
      <c r="F158" s="3">
        <v>0</v>
      </c>
      <c r="G158" s="3">
        <v>2</v>
      </c>
      <c r="H158" s="3">
        <v>2</v>
      </c>
      <c r="I158" s="3">
        <v>1</v>
      </c>
      <c r="J158" s="3">
        <v>0</v>
      </c>
      <c r="K158" s="3">
        <v>0</v>
      </c>
      <c r="L158" s="3">
        <v>2</v>
      </c>
      <c r="M158" s="3">
        <v>1</v>
      </c>
      <c r="N158" s="3">
        <v>2</v>
      </c>
      <c r="O158" s="3">
        <v>2</v>
      </c>
      <c r="P158" s="3">
        <v>3</v>
      </c>
      <c r="Q158" s="3">
        <v>1</v>
      </c>
      <c r="R158" s="3">
        <v>0</v>
      </c>
      <c r="S158" s="3">
        <v>7</v>
      </c>
      <c r="T158" s="3">
        <v>6</v>
      </c>
      <c r="U158" s="3">
        <v>1</v>
      </c>
      <c r="V158" s="3">
        <v>13</v>
      </c>
      <c r="W158" s="3">
        <v>11</v>
      </c>
      <c r="X158" s="3">
        <v>6</v>
      </c>
      <c r="Y158" s="3">
        <v>2</v>
      </c>
      <c r="Z158" s="3">
        <v>9</v>
      </c>
      <c r="AA158" s="3">
        <v>4</v>
      </c>
      <c r="AB158" s="3">
        <v>10</v>
      </c>
      <c r="AC158" s="3">
        <v>8</v>
      </c>
      <c r="AD158" s="3">
        <v>4</v>
      </c>
      <c r="AE158" s="3">
        <v>6</v>
      </c>
      <c r="AF158" s="3">
        <v>8</v>
      </c>
      <c r="AG158" s="3">
        <v>7</v>
      </c>
      <c r="AH158" s="3">
        <v>7</v>
      </c>
      <c r="AI158" s="3">
        <v>2</v>
      </c>
      <c r="AJ158" s="3">
        <v>2</v>
      </c>
      <c r="AK158" s="3">
        <v>4</v>
      </c>
      <c r="AL158" s="3">
        <v>1</v>
      </c>
      <c r="AM158" s="3">
        <v>7</v>
      </c>
      <c r="AN158" s="3">
        <v>2</v>
      </c>
      <c r="AO158" s="3">
        <v>7</v>
      </c>
      <c r="AP158" s="3">
        <v>11</v>
      </c>
      <c r="AQ158" s="3">
        <v>9</v>
      </c>
      <c r="AR158" s="3">
        <v>23</v>
      </c>
      <c r="AS158" s="3">
        <v>48</v>
      </c>
      <c r="AT158" s="3">
        <v>77</v>
      </c>
      <c r="AU158" s="3">
        <v>96</v>
      </c>
      <c r="AV158" s="3">
        <v>102</v>
      </c>
      <c r="AW158" s="3">
        <v>61</v>
      </c>
      <c r="AX158" s="3">
        <v>29</v>
      </c>
      <c r="AY158" s="3">
        <v>23</v>
      </c>
      <c r="AZ158" s="3">
        <v>11</v>
      </c>
      <c r="BA158" s="3">
        <v>5</v>
      </c>
      <c r="BB158" s="3">
        <v>3</v>
      </c>
      <c r="BC158" s="3">
        <v>1</v>
      </c>
    </row>
    <row r="159" spans="1:255" ht="16.5" customHeight="1">
      <c r="A159" s="1" t="s">
        <v>69</v>
      </c>
      <c r="B159" s="1">
        <v>2019</v>
      </c>
      <c r="C159" s="1">
        <v>398</v>
      </c>
      <c r="D159" s="1">
        <v>0</v>
      </c>
      <c r="E159" s="1">
        <v>1</v>
      </c>
      <c r="F159" s="1">
        <v>0</v>
      </c>
      <c r="G159" s="1">
        <v>0</v>
      </c>
      <c r="H159" s="1">
        <v>2</v>
      </c>
      <c r="I159" s="1">
        <v>1</v>
      </c>
      <c r="J159" s="1">
        <v>0</v>
      </c>
      <c r="K159" s="1">
        <v>1</v>
      </c>
      <c r="L159" s="1">
        <v>1</v>
      </c>
      <c r="M159" s="1">
        <v>0</v>
      </c>
      <c r="N159" s="1">
        <v>3</v>
      </c>
      <c r="O159" s="1">
        <v>1</v>
      </c>
      <c r="P159" s="1">
        <v>0</v>
      </c>
      <c r="Q159" s="1">
        <v>2</v>
      </c>
      <c r="R159" s="1">
        <v>0</v>
      </c>
      <c r="S159" s="1">
        <v>2</v>
      </c>
      <c r="T159" s="1">
        <v>1</v>
      </c>
      <c r="U159" s="1">
        <v>2</v>
      </c>
      <c r="V159" s="1">
        <v>6</v>
      </c>
      <c r="W159" s="1">
        <v>2</v>
      </c>
      <c r="X159" s="1">
        <v>2</v>
      </c>
      <c r="Y159" s="1">
        <v>2</v>
      </c>
      <c r="Z159" s="1">
        <v>0</v>
      </c>
      <c r="AA159" s="1">
        <v>2</v>
      </c>
      <c r="AB159" s="1">
        <v>3</v>
      </c>
      <c r="AC159" s="1">
        <v>3</v>
      </c>
      <c r="AD159" s="1">
        <v>4</v>
      </c>
      <c r="AE159" s="1">
        <v>6</v>
      </c>
      <c r="AF159" s="1">
        <v>5</v>
      </c>
      <c r="AG159" s="1">
        <v>4</v>
      </c>
      <c r="AH159" s="1">
        <v>5</v>
      </c>
      <c r="AI159" s="1">
        <v>2</v>
      </c>
      <c r="AJ159" s="1">
        <v>4</v>
      </c>
      <c r="AK159" s="1">
        <v>5</v>
      </c>
      <c r="AL159" s="1">
        <v>6</v>
      </c>
      <c r="AM159" s="1">
        <v>10</v>
      </c>
      <c r="AN159" s="1">
        <v>6</v>
      </c>
      <c r="AO159" s="1">
        <v>8</v>
      </c>
      <c r="AP159" s="1">
        <v>1</v>
      </c>
      <c r="AQ159" s="1">
        <v>5</v>
      </c>
      <c r="AR159" s="1">
        <v>8</v>
      </c>
      <c r="AS159" s="1">
        <v>7</v>
      </c>
      <c r="AT159" s="1">
        <v>12</v>
      </c>
      <c r="AU159" s="1">
        <v>31</v>
      </c>
      <c r="AV159" s="1">
        <v>74</v>
      </c>
      <c r="AW159" s="1">
        <v>60</v>
      </c>
      <c r="AX159" s="1">
        <v>52</v>
      </c>
      <c r="AY159" s="1">
        <v>25</v>
      </c>
      <c r="AZ159" s="1">
        <v>6</v>
      </c>
      <c r="BA159" s="1">
        <v>9</v>
      </c>
      <c r="BB159" s="1">
        <v>5</v>
      </c>
      <c r="BC159" s="1">
        <v>1</v>
      </c>
    </row>
    <row r="160" spans="1:255" ht="16.5" customHeight="1">
      <c r="A160" s="1" t="s">
        <v>69</v>
      </c>
      <c r="B160" s="1">
        <v>2020</v>
      </c>
      <c r="C160" s="1">
        <v>404</v>
      </c>
      <c r="D160" s="1">
        <v>5</v>
      </c>
      <c r="E160" s="1">
        <v>2</v>
      </c>
      <c r="F160" s="1">
        <v>4</v>
      </c>
      <c r="G160" s="1">
        <v>0</v>
      </c>
      <c r="H160" s="1">
        <v>1</v>
      </c>
      <c r="I160" s="1">
        <v>4</v>
      </c>
      <c r="J160" s="1">
        <v>2</v>
      </c>
      <c r="K160" s="1">
        <v>1</v>
      </c>
      <c r="L160" s="1">
        <v>2</v>
      </c>
      <c r="M160" s="1">
        <v>0</v>
      </c>
      <c r="N160" s="1">
        <v>0</v>
      </c>
      <c r="O160" s="1">
        <v>1</v>
      </c>
      <c r="P160" s="1">
        <v>0</v>
      </c>
      <c r="Q160" s="1">
        <v>1</v>
      </c>
      <c r="R160" s="1">
        <v>0</v>
      </c>
      <c r="S160" s="1">
        <v>2</v>
      </c>
      <c r="T160" s="1">
        <v>1</v>
      </c>
      <c r="U160" s="1">
        <v>1</v>
      </c>
      <c r="V160" s="1">
        <v>3</v>
      </c>
      <c r="W160" s="1">
        <v>4</v>
      </c>
      <c r="X160" s="1">
        <v>2</v>
      </c>
      <c r="Y160" s="1">
        <v>3</v>
      </c>
      <c r="Z160" s="1">
        <v>4</v>
      </c>
      <c r="AA160" s="1">
        <v>2</v>
      </c>
      <c r="AB160" s="1">
        <v>2</v>
      </c>
      <c r="AC160" s="1">
        <v>1</v>
      </c>
      <c r="AD160" s="1">
        <v>2</v>
      </c>
      <c r="AE160" s="1">
        <v>1</v>
      </c>
      <c r="AF160" s="1">
        <v>1</v>
      </c>
      <c r="AG160" s="1">
        <v>1</v>
      </c>
      <c r="AH160" s="1">
        <v>4</v>
      </c>
      <c r="AI160" s="1">
        <v>0</v>
      </c>
      <c r="AJ160" s="1">
        <v>1</v>
      </c>
      <c r="AK160" s="1">
        <v>3</v>
      </c>
      <c r="AL160" s="1">
        <v>0</v>
      </c>
      <c r="AM160" s="1">
        <v>2</v>
      </c>
      <c r="AN160" s="1">
        <v>8</v>
      </c>
      <c r="AO160" s="1">
        <v>4</v>
      </c>
      <c r="AP160" s="1">
        <v>6</v>
      </c>
      <c r="AQ160" s="1">
        <v>2</v>
      </c>
      <c r="AR160" s="1">
        <v>2</v>
      </c>
      <c r="AS160" s="1">
        <v>7</v>
      </c>
      <c r="AT160" s="1">
        <v>21</v>
      </c>
      <c r="AU160" s="1">
        <v>52</v>
      </c>
      <c r="AV160" s="1">
        <v>59</v>
      </c>
      <c r="AW160" s="1">
        <v>73</v>
      </c>
      <c r="AX160" s="1">
        <v>45</v>
      </c>
      <c r="AY160" s="1">
        <v>31</v>
      </c>
      <c r="AZ160" s="1">
        <v>9</v>
      </c>
      <c r="BA160" s="1">
        <v>13</v>
      </c>
      <c r="BB160" s="1">
        <v>8</v>
      </c>
      <c r="BC160" s="1">
        <v>1</v>
      </c>
    </row>
    <row r="161" spans="1:255" ht="16.5" customHeight="1">
      <c r="A161" s="1" t="s">
        <v>69</v>
      </c>
      <c r="B161" s="1">
        <v>2021</v>
      </c>
      <c r="C161" s="1">
        <v>729</v>
      </c>
      <c r="D161" s="1">
        <v>1</v>
      </c>
      <c r="E161" s="1">
        <v>2</v>
      </c>
      <c r="F161" s="1">
        <v>3</v>
      </c>
      <c r="G161" s="1">
        <v>6</v>
      </c>
      <c r="H161" s="1">
        <v>2</v>
      </c>
      <c r="I161" s="1">
        <v>1</v>
      </c>
      <c r="J161" s="1">
        <v>2</v>
      </c>
      <c r="K161" s="1">
        <v>6</v>
      </c>
      <c r="L161" s="1">
        <v>3</v>
      </c>
      <c r="M161" s="1">
        <v>3</v>
      </c>
      <c r="N161" s="1">
        <v>3</v>
      </c>
      <c r="O161" s="1">
        <v>4</v>
      </c>
      <c r="P161" s="1">
        <v>2</v>
      </c>
      <c r="Q161" s="1">
        <v>1</v>
      </c>
      <c r="R161" s="1">
        <v>5</v>
      </c>
      <c r="S161" s="1">
        <v>1</v>
      </c>
      <c r="T161" s="1">
        <v>7</v>
      </c>
      <c r="U161" s="1">
        <v>5</v>
      </c>
      <c r="V161" s="1">
        <v>6</v>
      </c>
      <c r="W161" s="1">
        <v>4</v>
      </c>
      <c r="X161" s="1">
        <v>3</v>
      </c>
      <c r="Y161" s="1">
        <v>10</v>
      </c>
      <c r="Z161" s="1">
        <v>8</v>
      </c>
      <c r="AA161" s="1">
        <v>8</v>
      </c>
      <c r="AB161" s="1">
        <v>7</v>
      </c>
      <c r="AC161" s="1">
        <v>8</v>
      </c>
      <c r="AD161" s="1">
        <v>5</v>
      </c>
      <c r="AE161" s="1">
        <v>6</v>
      </c>
      <c r="AF161" s="1">
        <v>6</v>
      </c>
      <c r="AG161" s="1">
        <v>4</v>
      </c>
      <c r="AH161" s="1">
        <v>6</v>
      </c>
      <c r="AI161" s="1">
        <v>6</v>
      </c>
      <c r="AJ161" s="1">
        <v>9</v>
      </c>
      <c r="AK161" s="1">
        <v>2</v>
      </c>
      <c r="AL161" s="1">
        <v>5</v>
      </c>
      <c r="AM161" s="1">
        <v>4</v>
      </c>
      <c r="AN161" s="1">
        <v>1</v>
      </c>
      <c r="AO161" s="1">
        <v>8</v>
      </c>
      <c r="AP161" s="1">
        <v>2</v>
      </c>
      <c r="AQ161" s="1">
        <v>6</v>
      </c>
      <c r="AR161" s="1">
        <v>18</v>
      </c>
      <c r="AS161" s="1">
        <v>40</v>
      </c>
      <c r="AT161" s="1">
        <v>45</v>
      </c>
      <c r="AU161" s="1">
        <v>55</v>
      </c>
      <c r="AV161" s="1">
        <v>59</v>
      </c>
      <c r="AW161" s="1">
        <v>88</v>
      </c>
      <c r="AX161" s="1">
        <v>109</v>
      </c>
      <c r="AY161" s="1">
        <v>70</v>
      </c>
      <c r="AZ161" s="1">
        <v>38</v>
      </c>
      <c r="BA161" s="1">
        <v>10</v>
      </c>
      <c r="BB161" s="1">
        <v>11</v>
      </c>
      <c r="BC161" s="1">
        <v>5</v>
      </c>
    </row>
    <row r="162" spans="1:255" ht="16.5" customHeight="1">
      <c r="A162" s="1" t="s">
        <v>69</v>
      </c>
      <c r="B162" s="1">
        <v>2022</v>
      </c>
      <c r="C162" s="1">
        <v>757</v>
      </c>
      <c r="D162" s="1">
        <v>4</v>
      </c>
      <c r="E162" s="1">
        <v>4</v>
      </c>
      <c r="F162" s="1">
        <v>4</v>
      </c>
      <c r="G162" s="1">
        <v>4</v>
      </c>
      <c r="H162" s="1">
        <v>4</v>
      </c>
      <c r="I162" s="1">
        <v>3</v>
      </c>
      <c r="J162" s="1">
        <v>2</v>
      </c>
      <c r="K162" s="1">
        <v>2</v>
      </c>
      <c r="L162" s="1">
        <v>3</v>
      </c>
      <c r="M162" s="1">
        <v>2</v>
      </c>
      <c r="N162" s="1">
        <v>2</v>
      </c>
      <c r="O162" s="1">
        <v>5</v>
      </c>
      <c r="P162" s="1">
        <v>0</v>
      </c>
      <c r="Q162" s="1">
        <v>2</v>
      </c>
      <c r="R162" s="1">
        <v>2</v>
      </c>
      <c r="S162" s="1">
        <v>2</v>
      </c>
      <c r="T162" s="1">
        <v>3</v>
      </c>
      <c r="U162" s="1">
        <v>2</v>
      </c>
      <c r="V162" s="1">
        <v>6</v>
      </c>
      <c r="W162" s="1">
        <v>8</v>
      </c>
      <c r="X162" s="1">
        <v>1</v>
      </c>
      <c r="Y162" s="1">
        <v>4</v>
      </c>
      <c r="Z162" s="1">
        <v>6</v>
      </c>
      <c r="AA162" s="1">
        <v>2</v>
      </c>
      <c r="AB162" s="1">
        <v>5</v>
      </c>
      <c r="AC162" s="1">
        <v>5</v>
      </c>
      <c r="AD162" s="1">
        <v>5</v>
      </c>
      <c r="AE162" s="1">
        <v>4</v>
      </c>
      <c r="AF162" s="1">
        <v>4</v>
      </c>
      <c r="AG162" s="1">
        <v>3</v>
      </c>
      <c r="AH162" s="1">
        <v>1</v>
      </c>
      <c r="AI162" s="1">
        <v>10</v>
      </c>
      <c r="AJ162" s="1">
        <v>9</v>
      </c>
      <c r="AK162" s="1">
        <v>4</v>
      </c>
      <c r="AL162" s="1">
        <v>6</v>
      </c>
      <c r="AM162" s="1">
        <v>6</v>
      </c>
      <c r="AN162" s="1">
        <v>4</v>
      </c>
      <c r="AO162" s="1">
        <v>8</v>
      </c>
      <c r="AP162" s="1">
        <v>6</v>
      </c>
      <c r="AQ162" s="1">
        <v>14</v>
      </c>
      <c r="AR162" s="1">
        <v>8</v>
      </c>
      <c r="AS162" s="1">
        <v>26</v>
      </c>
      <c r="AT162" s="1">
        <v>53</v>
      </c>
      <c r="AU162" s="1">
        <v>70</v>
      </c>
      <c r="AV162" s="1">
        <v>120</v>
      </c>
      <c r="AW162" s="1">
        <v>116</v>
      </c>
      <c r="AX162" s="1">
        <v>82</v>
      </c>
      <c r="AY162" s="1">
        <v>61</v>
      </c>
      <c r="AZ162" s="1">
        <v>19</v>
      </c>
      <c r="BA162" s="1">
        <v>14</v>
      </c>
      <c r="BB162" s="1">
        <v>9</v>
      </c>
      <c r="BC162" s="1">
        <v>3</v>
      </c>
    </row>
    <row r="163" spans="1:255" ht="16.5" customHeight="1">
      <c r="A163" s="1" t="s">
        <v>69</v>
      </c>
      <c r="B163" s="1">
        <v>2023</v>
      </c>
      <c r="C163" s="1">
        <v>728</v>
      </c>
      <c r="D163" s="1">
        <v>5</v>
      </c>
      <c r="E163" s="1">
        <v>3</v>
      </c>
      <c r="F163" s="1">
        <v>6</v>
      </c>
      <c r="G163" s="1">
        <v>6</v>
      </c>
      <c r="H163" s="1">
        <v>3</v>
      </c>
      <c r="I163" s="1">
        <v>3</v>
      </c>
      <c r="J163" s="1">
        <v>1</v>
      </c>
      <c r="K163" s="1">
        <v>3</v>
      </c>
      <c r="L163" s="1">
        <v>2</v>
      </c>
      <c r="M163" s="1">
        <v>2</v>
      </c>
      <c r="N163" s="1">
        <v>2</v>
      </c>
      <c r="O163" s="1">
        <v>4</v>
      </c>
      <c r="P163" s="1">
        <v>6</v>
      </c>
      <c r="Q163" s="1">
        <v>2</v>
      </c>
      <c r="R163" s="1">
        <v>1</v>
      </c>
      <c r="S163" s="1">
        <v>3</v>
      </c>
      <c r="T163" s="1">
        <v>4</v>
      </c>
      <c r="U163" s="1">
        <v>3</v>
      </c>
      <c r="V163" s="1">
        <v>3</v>
      </c>
      <c r="W163" s="1">
        <v>2</v>
      </c>
      <c r="X163" s="1">
        <v>8</v>
      </c>
      <c r="Y163" s="1">
        <v>11</v>
      </c>
      <c r="Z163" s="1">
        <v>3</v>
      </c>
      <c r="AA163" s="1">
        <v>7</v>
      </c>
      <c r="AB163" s="1">
        <v>7</v>
      </c>
      <c r="AC163" s="1">
        <v>7</v>
      </c>
      <c r="AD163" s="1">
        <v>7</v>
      </c>
      <c r="AE163" s="1">
        <v>2</v>
      </c>
      <c r="AF163" s="1">
        <v>7</v>
      </c>
      <c r="AG163" s="1">
        <v>8</v>
      </c>
      <c r="AH163" s="1">
        <v>3</v>
      </c>
      <c r="AI163" s="1">
        <v>4</v>
      </c>
      <c r="AJ163" s="1">
        <v>4</v>
      </c>
      <c r="AK163" s="1">
        <v>3</v>
      </c>
      <c r="AL163" s="1">
        <v>5</v>
      </c>
      <c r="AM163" s="1">
        <v>5</v>
      </c>
      <c r="AN163" s="1">
        <v>4</v>
      </c>
      <c r="AO163" s="1">
        <v>8</v>
      </c>
      <c r="AP163" s="1">
        <v>0</v>
      </c>
      <c r="AQ163" s="1">
        <v>2</v>
      </c>
      <c r="AR163" s="1">
        <v>7</v>
      </c>
      <c r="AS163" s="1">
        <v>24</v>
      </c>
      <c r="AT163" s="1">
        <v>77</v>
      </c>
      <c r="AU163" s="1">
        <v>97</v>
      </c>
      <c r="AV163" s="1">
        <v>97</v>
      </c>
      <c r="AW163" s="1">
        <v>96</v>
      </c>
      <c r="AX163" s="1">
        <v>75</v>
      </c>
      <c r="AY163" s="1">
        <v>38</v>
      </c>
      <c r="AZ163" s="1">
        <v>23</v>
      </c>
      <c r="BA163" s="1">
        <v>15</v>
      </c>
      <c r="BB163" s="1">
        <v>5</v>
      </c>
      <c r="BC163" s="1">
        <v>5</v>
      </c>
    </row>
    <row r="164" spans="1:255" ht="16.5" customHeight="1">
      <c r="A164" s="1" t="s">
        <v>69</v>
      </c>
      <c r="B164" s="1">
        <v>2024</v>
      </c>
      <c r="C164" s="1">
        <v>630</v>
      </c>
      <c r="D164" s="1">
        <v>4</v>
      </c>
      <c r="E164" s="1">
        <v>3</v>
      </c>
      <c r="F164" s="1">
        <v>3</v>
      </c>
      <c r="G164" s="1">
        <v>2</v>
      </c>
      <c r="H164" s="1">
        <v>2</v>
      </c>
      <c r="I164" s="1">
        <v>2</v>
      </c>
      <c r="J164" s="1">
        <v>4</v>
      </c>
      <c r="K164" s="1">
        <v>0</v>
      </c>
      <c r="L164" s="1">
        <v>3</v>
      </c>
      <c r="M164" s="1">
        <v>2</v>
      </c>
      <c r="N164" s="1">
        <v>1</v>
      </c>
      <c r="O164" s="1">
        <v>1</v>
      </c>
      <c r="P164" s="1">
        <v>2</v>
      </c>
      <c r="Q164" s="1">
        <v>3</v>
      </c>
      <c r="R164" s="1">
        <v>1</v>
      </c>
      <c r="S164" s="1">
        <v>3</v>
      </c>
      <c r="T164" s="1">
        <v>1</v>
      </c>
      <c r="U164" s="1">
        <v>4</v>
      </c>
      <c r="V164" s="1">
        <v>3</v>
      </c>
      <c r="W164" s="1">
        <v>3</v>
      </c>
      <c r="X164" s="1">
        <v>4</v>
      </c>
      <c r="Y164" s="1">
        <v>8</v>
      </c>
      <c r="Z164" s="1">
        <v>7</v>
      </c>
      <c r="AA164" s="1">
        <v>4</v>
      </c>
      <c r="AB164" s="1">
        <v>3</v>
      </c>
      <c r="AC164" s="1">
        <v>7</v>
      </c>
      <c r="AD164" s="1">
        <v>3</v>
      </c>
      <c r="AE164" s="1">
        <v>2</v>
      </c>
      <c r="AF164" s="1">
        <v>9</v>
      </c>
      <c r="AG164" s="1">
        <v>4</v>
      </c>
      <c r="AH164" s="1">
        <v>6</v>
      </c>
      <c r="AI164" s="1">
        <v>5</v>
      </c>
      <c r="AJ164" s="1">
        <v>2</v>
      </c>
      <c r="AK164" s="1">
        <v>9</v>
      </c>
      <c r="AL164" s="1">
        <v>10</v>
      </c>
      <c r="AM164" s="1">
        <v>4</v>
      </c>
      <c r="AN164" s="1">
        <v>2</v>
      </c>
      <c r="AO164" s="1">
        <v>0</v>
      </c>
      <c r="AP164" s="1">
        <v>2</v>
      </c>
      <c r="AQ164" s="1">
        <v>1</v>
      </c>
      <c r="AR164" s="1">
        <v>0</v>
      </c>
      <c r="AS164" s="1">
        <v>5</v>
      </c>
      <c r="AT164" s="1">
        <v>39</v>
      </c>
      <c r="AU164" s="1">
        <v>96</v>
      </c>
      <c r="AV164" s="1">
        <v>76</v>
      </c>
      <c r="AW164" s="1">
        <v>67</v>
      </c>
      <c r="AX164" s="1">
        <v>70</v>
      </c>
      <c r="AY164" s="1">
        <v>61</v>
      </c>
      <c r="AZ164" s="1">
        <v>49</v>
      </c>
      <c r="BA164" s="1">
        <v>24</v>
      </c>
      <c r="BB164" s="1">
        <v>4</v>
      </c>
      <c r="BC164" s="1">
        <v>0</v>
      </c>
    </row>
    <row r="165" spans="1:255" ht="16.5" customHeight="1">
      <c r="A165" s="1" t="s">
        <v>69</v>
      </c>
      <c r="B165" s="1">
        <v>2025</v>
      </c>
      <c r="C165" s="1">
        <v>299</v>
      </c>
      <c r="D165" s="1">
        <v>3</v>
      </c>
      <c r="E165" s="1">
        <v>0</v>
      </c>
      <c r="F165" s="1">
        <v>0</v>
      </c>
      <c r="G165" s="1">
        <v>0</v>
      </c>
      <c r="H165" s="1">
        <v>1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2</v>
      </c>
      <c r="T165" s="1">
        <v>1</v>
      </c>
      <c r="U165" s="1">
        <v>1</v>
      </c>
      <c r="V165" s="1">
        <v>3</v>
      </c>
      <c r="W165" s="1">
        <v>0</v>
      </c>
      <c r="X165" s="1">
        <v>3</v>
      </c>
      <c r="Y165" s="1">
        <v>3</v>
      </c>
      <c r="Z165" s="1">
        <v>1</v>
      </c>
      <c r="AA165" s="1">
        <v>5</v>
      </c>
      <c r="AB165" s="1">
        <v>2</v>
      </c>
      <c r="AC165" s="1">
        <v>2</v>
      </c>
      <c r="AD165" s="1">
        <v>1</v>
      </c>
      <c r="AE165" s="1">
        <v>0</v>
      </c>
      <c r="AF165" s="1">
        <v>0</v>
      </c>
      <c r="AG165" s="1">
        <v>1</v>
      </c>
      <c r="AH165" s="1">
        <v>2</v>
      </c>
      <c r="AI165" s="1">
        <v>0</v>
      </c>
      <c r="AJ165" s="1">
        <v>2</v>
      </c>
      <c r="AK165" s="1">
        <v>3</v>
      </c>
      <c r="AL165" s="1">
        <v>0</v>
      </c>
      <c r="AM165" s="1">
        <v>0</v>
      </c>
      <c r="AN165" s="1">
        <v>2</v>
      </c>
      <c r="AO165" s="1">
        <v>2</v>
      </c>
      <c r="AP165" s="1">
        <v>2</v>
      </c>
      <c r="AQ165" s="1">
        <v>1</v>
      </c>
      <c r="AR165" s="1">
        <v>1</v>
      </c>
      <c r="AS165" s="1">
        <v>4</v>
      </c>
      <c r="AT165" s="1">
        <v>15</v>
      </c>
      <c r="AU165" s="1">
        <v>26</v>
      </c>
      <c r="AV165" s="1">
        <v>32</v>
      </c>
      <c r="AW165" s="1">
        <v>66</v>
      </c>
      <c r="AX165" s="1">
        <v>41</v>
      </c>
      <c r="AY165" s="1">
        <v>44</v>
      </c>
      <c r="AZ165" s="1">
        <v>19</v>
      </c>
      <c r="BA165" s="1">
        <v>6</v>
      </c>
      <c r="BB165" s="1">
        <v>0</v>
      </c>
      <c r="BC165" s="1">
        <v>2</v>
      </c>
    </row>
    <row r="166" spans="1:255" ht="16.5" customHeight="1">
      <c r="A166" s="2" t="s">
        <v>2</v>
      </c>
      <c r="B166" s="2"/>
      <c r="C166" s="2">
        <f t="shared" ref="C166:AH166" si="28">SUM(C156:C165)</f>
        <v>6695</v>
      </c>
      <c r="D166" s="2">
        <f t="shared" si="28"/>
        <v>27</v>
      </c>
      <c r="E166" s="2">
        <f t="shared" si="28"/>
        <v>21</v>
      </c>
      <c r="F166" s="2">
        <f t="shared" si="28"/>
        <v>22</v>
      </c>
      <c r="G166" s="2">
        <f t="shared" si="28"/>
        <v>22</v>
      </c>
      <c r="H166" s="2">
        <f t="shared" si="28"/>
        <v>20</v>
      </c>
      <c r="I166" s="2">
        <f t="shared" si="28"/>
        <v>16</v>
      </c>
      <c r="J166" s="2">
        <f t="shared" si="28"/>
        <v>11</v>
      </c>
      <c r="K166" s="2">
        <f t="shared" si="28"/>
        <v>13</v>
      </c>
      <c r="L166" s="2">
        <f t="shared" si="28"/>
        <v>17</v>
      </c>
      <c r="M166" s="2">
        <f t="shared" si="28"/>
        <v>10</v>
      </c>
      <c r="N166" s="2">
        <f t="shared" si="28"/>
        <v>14</v>
      </c>
      <c r="O166" s="2">
        <f t="shared" si="28"/>
        <v>18</v>
      </c>
      <c r="P166" s="2">
        <f t="shared" si="28"/>
        <v>14</v>
      </c>
      <c r="Q166" s="2">
        <f t="shared" si="28"/>
        <v>13</v>
      </c>
      <c r="R166" s="2">
        <f t="shared" si="28"/>
        <v>10</v>
      </c>
      <c r="S166" s="2">
        <f t="shared" si="28"/>
        <v>25</v>
      </c>
      <c r="T166" s="2">
        <f t="shared" si="28"/>
        <v>29</v>
      </c>
      <c r="U166" s="2">
        <f t="shared" si="28"/>
        <v>23</v>
      </c>
      <c r="V166" s="2">
        <f t="shared" si="28"/>
        <v>51</v>
      </c>
      <c r="W166" s="2">
        <f t="shared" si="28"/>
        <v>42</v>
      </c>
      <c r="X166" s="2">
        <f t="shared" si="28"/>
        <v>41</v>
      </c>
      <c r="Y166" s="2">
        <f t="shared" si="28"/>
        <v>50</v>
      </c>
      <c r="Z166" s="2">
        <f t="shared" si="28"/>
        <v>42</v>
      </c>
      <c r="AA166" s="2">
        <f t="shared" si="28"/>
        <v>42</v>
      </c>
      <c r="AB166" s="2">
        <f t="shared" si="28"/>
        <v>46</v>
      </c>
      <c r="AC166" s="2">
        <f t="shared" si="28"/>
        <v>48</v>
      </c>
      <c r="AD166" s="2">
        <f t="shared" si="28"/>
        <v>43</v>
      </c>
      <c r="AE166" s="2">
        <f t="shared" si="28"/>
        <v>32</v>
      </c>
      <c r="AF166" s="2">
        <f t="shared" si="28"/>
        <v>45</v>
      </c>
      <c r="AG166" s="2">
        <f t="shared" si="28"/>
        <v>34</v>
      </c>
      <c r="AH166" s="2">
        <f t="shared" si="28"/>
        <v>38</v>
      </c>
      <c r="AI166" s="2">
        <f t="shared" ref="AI166:BD166" si="29">SUM(AI156:AI165)</f>
        <v>33</v>
      </c>
      <c r="AJ166" s="2">
        <f t="shared" si="29"/>
        <v>38</v>
      </c>
      <c r="AK166" s="2">
        <f t="shared" si="29"/>
        <v>37</v>
      </c>
      <c r="AL166" s="2">
        <f t="shared" si="29"/>
        <v>38</v>
      </c>
      <c r="AM166" s="2">
        <f t="shared" si="29"/>
        <v>41</v>
      </c>
      <c r="AN166" s="2">
        <f t="shared" si="29"/>
        <v>39</v>
      </c>
      <c r="AO166" s="2">
        <f t="shared" si="29"/>
        <v>55</v>
      </c>
      <c r="AP166" s="2">
        <f t="shared" si="29"/>
        <v>48</v>
      </c>
      <c r="AQ166" s="2">
        <f t="shared" si="29"/>
        <v>65</v>
      </c>
      <c r="AR166" s="2">
        <f t="shared" si="29"/>
        <v>110</v>
      </c>
      <c r="AS166" s="2">
        <f t="shared" si="29"/>
        <v>282</v>
      </c>
      <c r="AT166" s="2">
        <f t="shared" si="29"/>
        <v>515</v>
      </c>
      <c r="AU166" s="2">
        <f t="shared" si="29"/>
        <v>778</v>
      </c>
      <c r="AV166" s="2">
        <f t="shared" si="29"/>
        <v>1037</v>
      </c>
      <c r="AW166" s="2">
        <f t="shared" si="29"/>
        <v>1052</v>
      </c>
      <c r="AX166" s="2">
        <f t="shared" si="29"/>
        <v>690</v>
      </c>
      <c r="AY166" s="2">
        <f t="shared" si="29"/>
        <v>473</v>
      </c>
      <c r="AZ166" s="2">
        <f t="shared" si="29"/>
        <v>256</v>
      </c>
      <c r="BA166" s="2">
        <f t="shared" si="29"/>
        <v>128</v>
      </c>
      <c r="BB166" s="2">
        <f t="shared" si="29"/>
        <v>67</v>
      </c>
      <c r="BC166" s="2">
        <f t="shared" si="29"/>
        <v>27</v>
      </c>
      <c r="BD166" s="2">
        <f t="shared" si="29"/>
        <v>2</v>
      </c>
    </row>
    <row r="167" spans="1:255" ht="16.5" customHeight="1">
      <c r="A167" s="4" t="s">
        <v>70</v>
      </c>
      <c r="B167" s="4">
        <v>2016</v>
      </c>
      <c r="C167" s="4">
        <v>139</v>
      </c>
      <c r="D167" s="5">
        <v>3</v>
      </c>
      <c r="E167" s="4">
        <v>0</v>
      </c>
      <c r="F167" s="4">
        <v>0</v>
      </c>
      <c r="G167" s="4">
        <v>1</v>
      </c>
      <c r="H167" s="4">
        <v>0</v>
      </c>
      <c r="I167" s="4">
        <v>0</v>
      </c>
      <c r="J167" s="4">
        <v>0</v>
      </c>
      <c r="K167" s="4">
        <v>0</v>
      </c>
      <c r="L167" s="4">
        <v>2</v>
      </c>
      <c r="M167" s="4">
        <v>0</v>
      </c>
      <c r="N167" s="4">
        <v>1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1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1</v>
      </c>
      <c r="AJ167" s="4">
        <v>0</v>
      </c>
      <c r="AK167" s="4">
        <v>0</v>
      </c>
      <c r="AL167" s="4">
        <v>1</v>
      </c>
      <c r="AM167" s="4">
        <v>0</v>
      </c>
      <c r="AN167" s="4">
        <v>0</v>
      </c>
      <c r="AO167" s="4">
        <v>0</v>
      </c>
      <c r="AP167" s="4">
        <v>1</v>
      </c>
      <c r="AQ167" s="4">
        <v>1</v>
      </c>
      <c r="AR167" s="4">
        <v>0</v>
      </c>
      <c r="AS167" s="4">
        <v>2</v>
      </c>
      <c r="AT167" s="4">
        <v>1</v>
      </c>
      <c r="AU167" s="4">
        <v>6</v>
      </c>
      <c r="AV167" s="4">
        <v>20</v>
      </c>
      <c r="AW167" s="4">
        <v>22</v>
      </c>
      <c r="AX167" s="4">
        <v>18</v>
      </c>
      <c r="AY167" s="4">
        <v>17</v>
      </c>
      <c r="AZ167" s="4">
        <v>13</v>
      </c>
      <c r="BA167" s="4">
        <v>10</v>
      </c>
      <c r="BB167" s="4">
        <v>12</v>
      </c>
      <c r="BC167" s="4">
        <v>5</v>
      </c>
      <c r="BD167" s="4">
        <v>1</v>
      </c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4"/>
      <c r="DP167" s="4"/>
      <c r="DQ167" s="4"/>
      <c r="DR167" s="4"/>
      <c r="DS167" s="4"/>
      <c r="DT167" s="4"/>
      <c r="DU167" s="4"/>
      <c r="DV167" s="4"/>
      <c r="DW167" s="4"/>
      <c r="DX167" s="4"/>
      <c r="DY167" s="4"/>
      <c r="DZ167" s="4"/>
      <c r="EA167" s="4"/>
      <c r="EB167" s="4"/>
      <c r="EC167" s="4"/>
      <c r="ED167" s="4"/>
      <c r="EE167" s="4"/>
      <c r="EF167" s="4"/>
      <c r="EG167" s="4"/>
      <c r="EH167" s="4"/>
      <c r="EI167" s="4"/>
      <c r="EJ167" s="4"/>
      <c r="EK167" s="4"/>
      <c r="EL167" s="4"/>
      <c r="EM167" s="4"/>
      <c r="EN167" s="4"/>
      <c r="EO167" s="4"/>
      <c r="EP167" s="4"/>
      <c r="EQ167" s="4"/>
      <c r="ER167" s="4"/>
      <c r="ES167" s="4"/>
      <c r="ET167" s="4"/>
      <c r="EU167" s="4"/>
      <c r="EV167" s="4"/>
      <c r="EW167" s="4"/>
      <c r="EX167" s="4"/>
      <c r="EY167" s="4"/>
      <c r="EZ167" s="4"/>
      <c r="FA167" s="4"/>
      <c r="FB167" s="4"/>
      <c r="FC167" s="4"/>
      <c r="FD167" s="4"/>
      <c r="FE167" s="4"/>
      <c r="FF167" s="4"/>
      <c r="FG167" s="4"/>
      <c r="FH167" s="4"/>
      <c r="FI167" s="4"/>
      <c r="FJ167" s="4"/>
      <c r="FK167" s="4"/>
      <c r="FL167" s="4"/>
      <c r="FM167" s="4"/>
      <c r="FN167" s="4"/>
      <c r="FO167" s="4"/>
      <c r="FP167" s="4"/>
      <c r="FQ167" s="4"/>
      <c r="FR167" s="4"/>
      <c r="FS167" s="4"/>
      <c r="FT167" s="4"/>
      <c r="FU167" s="4"/>
      <c r="FV167" s="4"/>
      <c r="FW167" s="4"/>
      <c r="FX167" s="4"/>
      <c r="FY167" s="4"/>
      <c r="FZ167" s="4"/>
      <c r="GA167" s="4"/>
      <c r="GB167" s="4"/>
      <c r="GC167" s="4"/>
      <c r="GD167" s="4"/>
      <c r="GE167" s="4"/>
      <c r="GF167" s="4"/>
      <c r="GG167" s="4"/>
      <c r="GH167" s="4"/>
      <c r="GI167" s="4"/>
      <c r="GJ167" s="4"/>
      <c r="GK167" s="4"/>
      <c r="GL167" s="4"/>
      <c r="GM167" s="4"/>
      <c r="GN167" s="4"/>
      <c r="GO167" s="4"/>
      <c r="GP167" s="4"/>
      <c r="GQ167" s="4"/>
      <c r="GR167" s="4"/>
      <c r="GS167" s="4"/>
      <c r="GT167" s="4"/>
      <c r="GU167" s="4"/>
      <c r="GV167" s="4"/>
      <c r="GW167" s="4"/>
      <c r="GX167" s="4"/>
      <c r="GY167" s="4"/>
      <c r="GZ167" s="4"/>
      <c r="HA167" s="4"/>
      <c r="HB167" s="4"/>
      <c r="HC167" s="4"/>
      <c r="HD167" s="4"/>
      <c r="HE167" s="4"/>
      <c r="HF167" s="4"/>
      <c r="HG167" s="4"/>
      <c r="HH167" s="4"/>
      <c r="HI167" s="4"/>
      <c r="HJ167" s="4"/>
      <c r="HK167" s="4"/>
      <c r="HL167" s="4"/>
      <c r="HM167" s="4"/>
      <c r="HN167" s="4"/>
      <c r="HO167" s="4"/>
      <c r="HP167" s="4"/>
      <c r="HQ167" s="4"/>
      <c r="HR167" s="4"/>
      <c r="HS167" s="4"/>
      <c r="HT167" s="4"/>
      <c r="HU167" s="4"/>
      <c r="HV167" s="4"/>
      <c r="HW167" s="4"/>
      <c r="HX167" s="4"/>
      <c r="HY167" s="4"/>
      <c r="HZ167" s="4"/>
      <c r="IA167" s="4"/>
      <c r="IB167" s="4"/>
      <c r="IC167" s="4"/>
      <c r="ID167" s="4"/>
      <c r="IE167" s="4"/>
      <c r="IF167" s="4"/>
      <c r="IG167" s="4"/>
      <c r="IH167" s="4"/>
      <c r="II167" s="4"/>
      <c r="IJ167" s="4"/>
      <c r="IK167" s="4"/>
      <c r="IL167" s="4"/>
      <c r="IM167" s="4"/>
      <c r="IN167" s="4"/>
      <c r="IO167" s="4"/>
      <c r="IP167" s="4"/>
      <c r="IQ167" s="4"/>
      <c r="IR167" s="4"/>
      <c r="IS167" s="4"/>
      <c r="IT167" s="4"/>
      <c r="IU167" s="4"/>
    </row>
    <row r="168" spans="1:255" ht="16.5" customHeight="1">
      <c r="A168" s="1" t="s">
        <v>70</v>
      </c>
      <c r="B168" s="1">
        <v>2017</v>
      </c>
      <c r="C168" s="1">
        <v>109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1</v>
      </c>
      <c r="Q168" s="1">
        <v>0</v>
      </c>
      <c r="R168" s="1">
        <v>0</v>
      </c>
      <c r="S168" s="1">
        <v>0</v>
      </c>
      <c r="T168" s="1">
        <v>1</v>
      </c>
      <c r="U168" s="1">
        <v>0</v>
      </c>
      <c r="V168" s="1">
        <v>1</v>
      </c>
      <c r="W168" s="1">
        <v>1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1</v>
      </c>
      <c r="AG168" s="1">
        <v>1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1</v>
      </c>
      <c r="AN168" s="1">
        <v>0</v>
      </c>
      <c r="AO168" s="1">
        <v>1</v>
      </c>
      <c r="AP168" s="1">
        <v>1</v>
      </c>
      <c r="AQ168" s="1">
        <v>0</v>
      </c>
      <c r="AR168" s="1">
        <v>3</v>
      </c>
      <c r="AS168" s="1">
        <v>2</v>
      </c>
      <c r="AT168" s="1">
        <v>4</v>
      </c>
      <c r="AU168" s="1">
        <v>5</v>
      </c>
      <c r="AV168" s="1">
        <v>21</v>
      </c>
      <c r="AW168" s="1">
        <v>14</v>
      </c>
      <c r="AX168" s="1">
        <v>25</v>
      </c>
      <c r="AY168" s="1">
        <v>13</v>
      </c>
      <c r="AZ168" s="1">
        <v>7</v>
      </c>
      <c r="BA168" s="1">
        <v>3</v>
      </c>
      <c r="BB168" s="1">
        <v>2</v>
      </c>
      <c r="BC168" s="1">
        <v>1</v>
      </c>
    </row>
    <row r="169" spans="1:255" ht="16.5" customHeight="1">
      <c r="A169" s="1" t="s">
        <v>70</v>
      </c>
      <c r="B169" s="1">
        <v>2018</v>
      </c>
      <c r="C169" s="1">
        <v>103</v>
      </c>
      <c r="D169" s="1">
        <v>3</v>
      </c>
      <c r="E169" s="1">
        <v>1</v>
      </c>
      <c r="F169" s="1">
        <v>0</v>
      </c>
      <c r="G169" s="1">
        <v>0</v>
      </c>
      <c r="H169" s="1">
        <v>1</v>
      </c>
      <c r="I169" s="1">
        <v>0</v>
      </c>
      <c r="J169" s="1">
        <v>0</v>
      </c>
      <c r="K169" s="1">
        <v>0</v>
      </c>
      <c r="L169" s="1">
        <v>0</v>
      </c>
      <c r="M169" s="1">
        <v>1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1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1</v>
      </c>
      <c r="AE169" s="1">
        <v>0</v>
      </c>
      <c r="AF169" s="1">
        <v>1</v>
      </c>
      <c r="AG169" s="1">
        <v>1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2</v>
      </c>
      <c r="AO169" s="1">
        <v>0</v>
      </c>
      <c r="AP169" s="1">
        <v>0</v>
      </c>
      <c r="AQ169" s="1">
        <v>0</v>
      </c>
      <c r="AR169" s="1">
        <v>0</v>
      </c>
      <c r="AS169" s="1">
        <v>3</v>
      </c>
      <c r="AT169" s="1">
        <v>3</v>
      </c>
      <c r="AU169" s="1">
        <v>11</v>
      </c>
      <c r="AV169" s="1">
        <v>6</v>
      </c>
      <c r="AW169" s="1">
        <v>20</v>
      </c>
      <c r="AX169" s="1">
        <v>15</v>
      </c>
      <c r="AY169" s="1">
        <v>12</v>
      </c>
      <c r="AZ169" s="1">
        <v>6</v>
      </c>
      <c r="BA169" s="1">
        <v>5</v>
      </c>
      <c r="BB169" s="1">
        <v>7</v>
      </c>
      <c r="BC169" s="1">
        <v>3</v>
      </c>
    </row>
    <row r="170" spans="1:255" ht="16.5" customHeight="1">
      <c r="A170" s="3" t="s">
        <v>70</v>
      </c>
      <c r="B170" s="3">
        <v>2019</v>
      </c>
      <c r="C170" s="3">
        <v>103</v>
      </c>
      <c r="D170" s="3">
        <v>2</v>
      </c>
      <c r="E170" s="3">
        <v>1</v>
      </c>
      <c r="F170" s="3">
        <v>0</v>
      </c>
      <c r="G170" s="3">
        <v>2</v>
      </c>
      <c r="H170" s="3">
        <v>0</v>
      </c>
      <c r="I170" s="3">
        <v>0</v>
      </c>
      <c r="J170" s="3">
        <v>0</v>
      </c>
      <c r="K170" s="3">
        <v>0</v>
      </c>
      <c r="L170" s="3">
        <v>1</v>
      </c>
      <c r="M170" s="3">
        <v>1</v>
      </c>
      <c r="N170" s="3">
        <v>1</v>
      </c>
      <c r="O170" s="3">
        <v>0</v>
      </c>
      <c r="P170" s="3">
        <v>0</v>
      </c>
      <c r="Q170" s="3">
        <v>0</v>
      </c>
      <c r="R170" s="3">
        <v>0</v>
      </c>
      <c r="S170" s="3">
        <v>3</v>
      </c>
      <c r="T170" s="3">
        <v>0</v>
      </c>
      <c r="U170" s="3">
        <v>1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3">
        <v>0</v>
      </c>
      <c r="AH170" s="3">
        <v>0</v>
      </c>
      <c r="AI170" s="3">
        <v>0</v>
      </c>
      <c r="AJ170" s="3">
        <v>0</v>
      </c>
      <c r="AK170" s="3">
        <v>5</v>
      </c>
      <c r="AL170" s="3">
        <v>0</v>
      </c>
      <c r="AM170" s="3">
        <v>2</v>
      </c>
      <c r="AN170" s="3">
        <v>1</v>
      </c>
      <c r="AO170" s="3">
        <v>1</v>
      </c>
      <c r="AP170" s="3">
        <v>0</v>
      </c>
      <c r="AQ170" s="3">
        <v>0</v>
      </c>
      <c r="AR170" s="3">
        <v>3</v>
      </c>
      <c r="AS170" s="3">
        <v>1</v>
      </c>
      <c r="AT170" s="3">
        <v>1</v>
      </c>
      <c r="AU170" s="3">
        <v>7</v>
      </c>
      <c r="AV170" s="3">
        <v>9</v>
      </c>
      <c r="AW170" s="3">
        <v>20</v>
      </c>
      <c r="AX170" s="3">
        <v>8</v>
      </c>
      <c r="AY170" s="3">
        <v>11</v>
      </c>
      <c r="AZ170" s="3">
        <v>6</v>
      </c>
      <c r="BA170" s="3">
        <v>11</v>
      </c>
      <c r="BB170" s="3">
        <v>3</v>
      </c>
      <c r="BC170" s="3">
        <v>2</v>
      </c>
    </row>
    <row r="171" spans="1:255" ht="16.5" customHeight="1">
      <c r="A171" s="1" t="s">
        <v>70</v>
      </c>
      <c r="B171" s="1">
        <v>2020</v>
      </c>
      <c r="C171" s="1">
        <v>76</v>
      </c>
      <c r="D171" s="1">
        <v>1</v>
      </c>
      <c r="E171" s="1">
        <v>3</v>
      </c>
      <c r="F171" s="1">
        <v>1</v>
      </c>
      <c r="G171" s="1">
        <v>1</v>
      </c>
      <c r="H171" s="1">
        <v>0</v>
      </c>
      <c r="I171" s="1">
        <v>1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1</v>
      </c>
      <c r="Z171" s="1">
        <v>2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1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1</v>
      </c>
      <c r="AO171" s="1">
        <v>0</v>
      </c>
      <c r="AP171" s="1">
        <v>0</v>
      </c>
      <c r="AQ171" s="1">
        <v>0</v>
      </c>
      <c r="AR171" s="1">
        <v>0</v>
      </c>
      <c r="AS171" s="1">
        <v>1</v>
      </c>
      <c r="AT171" s="1">
        <v>1</v>
      </c>
      <c r="AU171" s="1">
        <v>5</v>
      </c>
      <c r="AV171" s="1">
        <v>2</v>
      </c>
      <c r="AW171" s="1">
        <v>13</v>
      </c>
      <c r="AX171" s="1">
        <v>12</v>
      </c>
      <c r="AY171" s="1">
        <v>8</v>
      </c>
      <c r="AZ171" s="1">
        <v>7</v>
      </c>
      <c r="BA171" s="1">
        <v>6</v>
      </c>
      <c r="BB171" s="1">
        <v>7</v>
      </c>
      <c r="BC171" s="1">
        <v>2</v>
      </c>
    </row>
    <row r="172" spans="1:255" ht="16.5" customHeight="1">
      <c r="A172" s="1" t="s">
        <v>70</v>
      </c>
      <c r="B172" s="1">
        <v>2021</v>
      </c>
      <c r="C172" s="1">
        <v>40</v>
      </c>
      <c r="D172" s="1">
        <v>3</v>
      </c>
      <c r="E172" s="1">
        <v>0</v>
      </c>
      <c r="F172" s="1">
        <v>1</v>
      </c>
      <c r="G172" s="1">
        <v>0</v>
      </c>
      <c r="H172" s="1">
        <v>1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1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1</v>
      </c>
      <c r="AI172" s="1">
        <v>0</v>
      </c>
      <c r="AJ172" s="1">
        <v>1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5</v>
      </c>
      <c r="AU172" s="1">
        <v>2</v>
      </c>
      <c r="AV172" s="1">
        <v>3</v>
      </c>
      <c r="AW172" s="1">
        <v>2</v>
      </c>
      <c r="AX172" s="1">
        <v>6</v>
      </c>
      <c r="AY172" s="1">
        <v>4</v>
      </c>
      <c r="AZ172" s="1">
        <v>4</v>
      </c>
      <c r="BA172" s="1">
        <v>1</v>
      </c>
      <c r="BB172" s="1">
        <v>4</v>
      </c>
      <c r="BC172" s="1">
        <v>1</v>
      </c>
    </row>
    <row r="173" spans="1:255" ht="16.5" customHeight="1">
      <c r="A173" s="1" t="s">
        <v>70</v>
      </c>
      <c r="B173" s="1">
        <v>2022</v>
      </c>
      <c r="C173" s="1">
        <v>67</v>
      </c>
      <c r="D173" s="1">
        <v>0</v>
      </c>
      <c r="E173" s="1">
        <v>2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1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1</v>
      </c>
      <c r="AQ173" s="1">
        <v>0</v>
      </c>
      <c r="AR173" s="1">
        <v>0</v>
      </c>
      <c r="AS173" s="1">
        <v>1</v>
      </c>
      <c r="AT173" s="1">
        <v>0</v>
      </c>
      <c r="AU173" s="1">
        <v>4</v>
      </c>
      <c r="AV173" s="1">
        <v>4</v>
      </c>
      <c r="AW173" s="1">
        <v>10</v>
      </c>
      <c r="AX173" s="1">
        <v>19</v>
      </c>
      <c r="AY173" s="1">
        <v>7</v>
      </c>
      <c r="AZ173" s="1">
        <v>6</v>
      </c>
      <c r="BA173" s="1">
        <v>5</v>
      </c>
      <c r="BB173" s="1">
        <v>6</v>
      </c>
      <c r="BC173" s="1">
        <v>1</v>
      </c>
    </row>
    <row r="174" spans="1:255" ht="16.5" customHeight="1">
      <c r="A174" s="1" t="s">
        <v>70</v>
      </c>
      <c r="B174" s="1">
        <v>2023</v>
      </c>
      <c r="C174" s="1">
        <v>53</v>
      </c>
      <c r="D174" s="1">
        <v>1</v>
      </c>
      <c r="E174" s="1">
        <v>0</v>
      </c>
      <c r="F174" s="1">
        <v>2</v>
      </c>
      <c r="G174" s="1">
        <v>0</v>
      </c>
      <c r="H174" s="1">
        <v>0</v>
      </c>
      <c r="I174" s="1">
        <v>0</v>
      </c>
      <c r="J174" s="1">
        <v>1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1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2</v>
      </c>
      <c r="AT174" s="1">
        <v>6</v>
      </c>
      <c r="AU174" s="1">
        <v>4</v>
      </c>
      <c r="AV174" s="1">
        <v>8</v>
      </c>
      <c r="AW174" s="1">
        <v>6</v>
      </c>
      <c r="AX174" s="1">
        <v>2</v>
      </c>
      <c r="AY174" s="1">
        <v>4</v>
      </c>
      <c r="AZ174" s="1">
        <v>3</v>
      </c>
      <c r="BA174" s="1">
        <v>7</v>
      </c>
      <c r="BB174" s="1">
        <v>5</v>
      </c>
      <c r="BC174" s="1">
        <v>1</v>
      </c>
    </row>
    <row r="175" spans="1:255" ht="16.5" customHeight="1">
      <c r="A175" s="1" t="s">
        <v>70</v>
      </c>
      <c r="B175" s="1">
        <v>2024</v>
      </c>
      <c r="C175" s="1">
        <v>50</v>
      </c>
      <c r="D175" s="1">
        <v>3</v>
      </c>
      <c r="E175" s="1">
        <v>1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1</v>
      </c>
      <c r="AH175" s="1">
        <v>0</v>
      </c>
      <c r="AI175" s="1">
        <v>0</v>
      </c>
      <c r="AJ175" s="1">
        <v>0</v>
      </c>
      <c r="AK175" s="1">
        <v>0</v>
      </c>
      <c r="AL175" s="1">
        <v>2</v>
      </c>
      <c r="AM175" s="1">
        <v>0</v>
      </c>
      <c r="AN175" s="1">
        <v>1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1</v>
      </c>
      <c r="AU175" s="1">
        <v>1</v>
      </c>
      <c r="AV175" s="1">
        <v>4</v>
      </c>
      <c r="AW175" s="1">
        <v>4</v>
      </c>
      <c r="AX175" s="1">
        <v>5</v>
      </c>
      <c r="AY175" s="1">
        <v>5</v>
      </c>
      <c r="AZ175" s="1">
        <v>10</v>
      </c>
      <c r="BA175" s="1">
        <v>4</v>
      </c>
      <c r="BB175" s="1">
        <v>3</v>
      </c>
      <c r="BC175" s="1">
        <v>5</v>
      </c>
    </row>
    <row r="176" spans="1:255" ht="16.5" customHeight="1">
      <c r="A176" s="1" t="s">
        <v>70</v>
      </c>
      <c r="B176" s="1">
        <v>2025</v>
      </c>
      <c r="C176" s="1">
        <v>19</v>
      </c>
      <c r="D176" s="1">
        <v>2</v>
      </c>
      <c r="E176" s="1">
        <v>1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1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3</v>
      </c>
      <c r="AY176" s="1">
        <v>3</v>
      </c>
      <c r="AZ176" s="1">
        <v>2</v>
      </c>
      <c r="BA176" s="1">
        <v>3</v>
      </c>
      <c r="BB176" s="1">
        <v>3</v>
      </c>
      <c r="BC176" s="1">
        <v>1</v>
      </c>
    </row>
    <row r="177" spans="1:255" ht="16.5" customHeight="1">
      <c r="A177" s="2" t="s">
        <v>2</v>
      </c>
      <c r="B177" s="2"/>
      <c r="C177" s="2">
        <f t="shared" ref="C177:AH177" si="30">SUM(C167:C176)</f>
        <v>759</v>
      </c>
      <c r="D177" s="2">
        <f t="shared" si="30"/>
        <v>18</v>
      </c>
      <c r="E177" s="2">
        <f t="shared" si="30"/>
        <v>9</v>
      </c>
      <c r="F177" s="2">
        <f t="shared" si="30"/>
        <v>4</v>
      </c>
      <c r="G177" s="2">
        <f t="shared" si="30"/>
        <v>4</v>
      </c>
      <c r="H177" s="2">
        <f t="shared" si="30"/>
        <v>2</v>
      </c>
      <c r="I177" s="2">
        <f t="shared" si="30"/>
        <v>1</v>
      </c>
      <c r="J177" s="2">
        <f t="shared" si="30"/>
        <v>1</v>
      </c>
      <c r="K177" s="2">
        <f t="shared" si="30"/>
        <v>0</v>
      </c>
      <c r="L177" s="2">
        <f t="shared" si="30"/>
        <v>3</v>
      </c>
      <c r="M177" s="2">
        <f t="shared" si="30"/>
        <v>2</v>
      </c>
      <c r="N177" s="2">
        <f t="shared" si="30"/>
        <v>3</v>
      </c>
      <c r="O177" s="2">
        <f t="shared" si="30"/>
        <v>0</v>
      </c>
      <c r="P177" s="2">
        <f t="shared" si="30"/>
        <v>2</v>
      </c>
      <c r="Q177" s="2">
        <f t="shared" si="30"/>
        <v>0</v>
      </c>
      <c r="R177" s="2">
        <f t="shared" si="30"/>
        <v>0</v>
      </c>
      <c r="S177" s="2">
        <f t="shared" si="30"/>
        <v>3</v>
      </c>
      <c r="T177" s="2">
        <f t="shared" si="30"/>
        <v>1</v>
      </c>
      <c r="U177" s="2">
        <f t="shared" si="30"/>
        <v>1</v>
      </c>
      <c r="V177" s="2">
        <f t="shared" si="30"/>
        <v>1</v>
      </c>
      <c r="W177" s="2">
        <f t="shared" si="30"/>
        <v>3</v>
      </c>
      <c r="X177" s="2">
        <f t="shared" si="30"/>
        <v>0</v>
      </c>
      <c r="Y177" s="2">
        <f t="shared" si="30"/>
        <v>1</v>
      </c>
      <c r="Z177" s="2">
        <f t="shared" si="30"/>
        <v>2</v>
      </c>
      <c r="AA177" s="2">
        <f t="shared" si="30"/>
        <v>0</v>
      </c>
      <c r="AB177" s="2">
        <f t="shared" si="30"/>
        <v>1</v>
      </c>
      <c r="AC177" s="2">
        <f t="shared" si="30"/>
        <v>1</v>
      </c>
      <c r="AD177" s="2">
        <f t="shared" si="30"/>
        <v>1</v>
      </c>
      <c r="AE177" s="2">
        <f t="shared" si="30"/>
        <v>0</v>
      </c>
      <c r="AF177" s="2">
        <f t="shared" si="30"/>
        <v>2</v>
      </c>
      <c r="AG177" s="2">
        <f t="shared" si="30"/>
        <v>4</v>
      </c>
      <c r="AH177" s="2">
        <f t="shared" si="30"/>
        <v>1</v>
      </c>
      <c r="AI177" s="2">
        <f t="shared" ref="AI177:BD177" si="31">SUM(AI167:AI176)</f>
        <v>1</v>
      </c>
      <c r="AJ177" s="2">
        <f t="shared" si="31"/>
        <v>1</v>
      </c>
      <c r="AK177" s="2">
        <f t="shared" si="31"/>
        <v>5</v>
      </c>
      <c r="AL177" s="2">
        <f t="shared" si="31"/>
        <v>3</v>
      </c>
      <c r="AM177" s="2">
        <f t="shared" si="31"/>
        <v>3</v>
      </c>
      <c r="AN177" s="2">
        <f t="shared" si="31"/>
        <v>5</v>
      </c>
      <c r="AO177" s="2">
        <f t="shared" si="31"/>
        <v>2</v>
      </c>
      <c r="AP177" s="2">
        <f t="shared" si="31"/>
        <v>3</v>
      </c>
      <c r="AQ177" s="2">
        <f t="shared" si="31"/>
        <v>1</v>
      </c>
      <c r="AR177" s="2">
        <f t="shared" si="31"/>
        <v>6</v>
      </c>
      <c r="AS177" s="2">
        <f t="shared" si="31"/>
        <v>12</v>
      </c>
      <c r="AT177" s="2">
        <f t="shared" si="31"/>
        <v>22</v>
      </c>
      <c r="AU177" s="2">
        <f t="shared" si="31"/>
        <v>45</v>
      </c>
      <c r="AV177" s="2">
        <f t="shared" si="31"/>
        <v>77</v>
      </c>
      <c r="AW177" s="2">
        <f t="shared" si="31"/>
        <v>111</v>
      </c>
      <c r="AX177" s="2">
        <f t="shared" si="31"/>
        <v>113</v>
      </c>
      <c r="AY177" s="2">
        <f t="shared" si="31"/>
        <v>84</v>
      </c>
      <c r="AZ177" s="2">
        <f t="shared" si="31"/>
        <v>64</v>
      </c>
      <c r="BA177" s="2">
        <f t="shared" si="31"/>
        <v>55</v>
      </c>
      <c r="BB177" s="2">
        <f t="shared" si="31"/>
        <v>52</v>
      </c>
      <c r="BC177" s="2">
        <f t="shared" si="31"/>
        <v>22</v>
      </c>
      <c r="BD177" s="2">
        <f t="shared" si="31"/>
        <v>1</v>
      </c>
    </row>
    <row r="178" spans="1:255" ht="16.5" customHeight="1">
      <c r="A178" s="4" t="s">
        <v>71</v>
      </c>
      <c r="B178" s="4">
        <v>2016</v>
      </c>
      <c r="C178" s="4">
        <v>1006</v>
      </c>
      <c r="D178" s="5">
        <v>0</v>
      </c>
      <c r="E178" s="4">
        <v>1</v>
      </c>
      <c r="F178" s="4">
        <v>0</v>
      </c>
      <c r="G178" s="4">
        <v>1</v>
      </c>
      <c r="H178" s="4">
        <v>0</v>
      </c>
      <c r="I178" s="4">
        <v>1</v>
      </c>
      <c r="J178" s="4">
        <v>2</v>
      </c>
      <c r="K178" s="4">
        <v>2</v>
      </c>
      <c r="L178" s="4">
        <v>0</v>
      </c>
      <c r="M178" s="4">
        <v>0</v>
      </c>
      <c r="N178" s="4">
        <v>1</v>
      </c>
      <c r="O178" s="4">
        <v>0</v>
      </c>
      <c r="P178" s="4">
        <v>1</v>
      </c>
      <c r="Q178" s="4">
        <v>1</v>
      </c>
      <c r="R178" s="4">
        <v>1</v>
      </c>
      <c r="S178" s="4">
        <v>2</v>
      </c>
      <c r="T178" s="4">
        <v>6</v>
      </c>
      <c r="U178" s="4">
        <v>5</v>
      </c>
      <c r="V178" s="4">
        <v>2</v>
      </c>
      <c r="W178" s="4">
        <v>4</v>
      </c>
      <c r="X178" s="4">
        <v>2</v>
      </c>
      <c r="Y178" s="4">
        <v>0</v>
      </c>
      <c r="Z178" s="4">
        <v>5</v>
      </c>
      <c r="AA178" s="4">
        <v>4</v>
      </c>
      <c r="AB178" s="4">
        <v>1</v>
      </c>
      <c r="AC178" s="4">
        <v>3</v>
      </c>
      <c r="AD178" s="4">
        <v>2</v>
      </c>
      <c r="AE178" s="4">
        <v>1</v>
      </c>
      <c r="AF178" s="4">
        <v>1</v>
      </c>
      <c r="AG178" s="4">
        <v>0</v>
      </c>
      <c r="AH178" s="4">
        <v>2</v>
      </c>
      <c r="AI178" s="4">
        <v>0</v>
      </c>
      <c r="AJ178" s="4">
        <v>1</v>
      </c>
      <c r="AK178" s="4">
        <v>1</v>
      </c>
      <c r="AL178" s="4">
        <v>3</v>
      </c>
      <c r="AM178" s="4">
        <v>4</v>
      </c>
      <c r="AN178" s="4">
        <v>2</v>
      </c>
      <c r="AO178" s="4">
        <v>2</v>
      </c>
      <c r="AP178" s="4">
        <v>9</v>
      </c>
      <c r="AQ178" s="4">
        <v>4</v>
      </c>
      <c r="AR178" s="4">
        <v>9</v>
      </c>
      <c r="AS178" s="4">
        <v>28</v>
      </c>
      <c r="AT178" s="4">
        <v>46</v>
      </c>
      <c r="AU178" s="4">
        <v>93</v>
      </c>
      <c r="AV178" s="4">
        <v>246</v>
      </c>
      <c r="AW178" s="4">
        <v>249</v>
      </c>
      <c r="AX178" s="4">
        <v>131</v>
      </c>
      <c r="AY178" s="4">
        <v>53</v>
      </c>
      <c r="AZ178" s="4">
        <v>38</v>
      </c>
      <c r="BA178" s="4">
        <v>22</v>
      </c>
      <c r="BB178" s="4">
        <v>9</v>
      </c>
      <c r="BC178" s="4">
        <v>3</v>
      </c>
      <c r="BD178" s="4">
        <v>2</v>
      </c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4"/>
      <c r="DP178" s="4"/>
      <c r="DQ178" s="4"/>
      <c r="DR178" s="4"/>
      <c r="DS178" s="4"/>
      <c r="DT178" s="4"/>
      <c r="DU178" s="4"/>
      <c r="DV178" s="4"/>
      <c r="DW178" s="4"/>
      <c r="DX178" s="4"/>
      <c r="DY178" s="4"/>
      <c r="DZ178" s="4"/>
      <c r="EA178" s="4"/>
      <c r="EB178" s="4"/>
      <c r="EC178" s="4"/>
      <c r="ED178" s="4"/>
      <c r="EE178" s="4"/>
      <c r="EF178" s="4"/>
      <c r="EG178" s="4"/>
      <c r="EH178" s="4"/>
      <c r="EI178" s="4"/>
      <c r="EJ178" s="4"/>
      <c r="EK178" s="4"/>
      <c r="EL178" s="4"/>
      <c r="EM178" s="4"/>
      <c r="EN178" s="4"/>
      <c r="EO178" s="4"/>
      <c r="EP178" s="4"/>
      <c r="EQ178" s="4"/>
      <c r="ER178" s="4"/>
      <c r="ES178" s="4"/>
      <c r="ET178" s="4"/>
      <c r="EU178" s="4"/>
      <c r="EV178" s="4"/>
      <c r="EW178" s="4"/>
      <c r="EX178" s="4"/>
      <c r="EY178" s="4"/>
      <c r="EZ178" s="4"/>
      <c r="FA178" s="4"/>
      <c r="FB178" s="4"/>
      <c r="FC178" s="4"/>
      <c r="FD178" s="4"/>
      <c r="FE178" s="4"/>
      <c r="FF178" s="4"/>
      <c r="FG178" s="4"/>
      <c r="FH178" s="4"/>
      <c r="FI178" s="4"/>
      <c r="FJ178" s="4"/>
      <c r="FK178" s="4"/>
      <c r="FL178" s="4"/>
      <c r="FM178" s="4"/>
      <c r="FN178" s="4"/>
      <c r="FO178" s="4"/>
      <c r="FP178" s="4"/>
      <c r="FQ178" s="4"/>
      <c r="FR178" s="4"/>
      <c r="FS178" s="4"/>
      <c r="FT178" s="4"/>
      <c r="FU178" s="4"/>
      <c r="FV178" s="4"/>
      <c r="FW178" s="4"/>
      <c r="FX178" s="4"/>
      <c r="FY178" s="4"/>
      <c r="FZ178" s="4"/>
      <c r="GA178" s="4"/>
      <c r="GB178" s="4"/>
      <c r="GC178" s="4"/>
      <c r="GD178" s="4"/>
      <c r="GE178" s="4"/>
      <c r="GF178" s="4"/>
      <c r="GG178" s="4"/>
      <c r="GH178" s="4"/>
      <c r="GI178" s="4"/>
      <c r="GJ178" s="4"/>
      <c r="GK178" s="4"/>
      <c r="GL178" s="4"/>
      <c r="GM178" s="4"/>
      <c r="GN178" s="4"/>
      <c r="GO178" s="4"/>
      <c r="GP178" s="4"/>
      <c r="GQ178" s="4"/>
      <c r="GR178" s="4"/>
      <c r="GS178" s="4"/>
      <c r="GT178" s="4"/>
      <c r="GU178" s="4"/>
      <c r="GV178" s="4"/>
      <c r="GW178" s="4"/>
      <c r="GX178" s="4"/>
      <c r="GY178" s="4"/>
      <c r="GZ178" s="4"/>
      <c r="HA178" s="4"/>
      <c r="HB178" s="4"/>
      <c r="HC178" s="4"/>
      <c r="HD178" s="4"/>
      <c r="HE178" s="4"/>
      <c r="HF178" s="4"/>
      <c r="HG178" s="4"/>
      <c r="HH178" s="4"/>
      <c r="HI178" s="4"/>
      <c r="HJ178" s="4"/>
      <c r="HK178" s="4"/>
      <c r="HL178" s="4"/>
      <c r="HM178" s="4"/>
      <c r="HN178" s="4"/>
      <c r="HO178" s="4"/>
      <c r="HP178" s="4"/>
      <c r="HQ178" s="4"/>
      <c r="HR178" s="4"/>
      <c r="HS178" s="4"/>
      <c r="HT178" s="4"/>
      <c r="HU178" s="4"/>
      <c r="HV178" s="4"/>
      <c r="HW178" s="4"/>
      <c r="HX178" s="4"/>
      <c r="HY178" s="4"/>
      <c r="HZ178" s="4"/>
      <c r="IA178" s="4"/>
      <c r="IB178" s="4"/>
      <c r="IC178" s="4"/>
      <c r="ID178" s="4"/>
      <c r="IE178" s="4"/>
      <c r="IF178" s="4"/>
      <c r="IG178" s="4"/>
      <c r="IH178" s="4"/>
      <c r="II178" s="4"/>
      <c r="IJ178" s="4"/>
      <c r="IK178" s="4"/>
      <c r="IL178" s="4"/>
      <c r="IM178" s="4"/>
      <c r="IN178" s="4"/>
      <c r="IO178" s="4"/>
      <c r="IP178" s="4"/>
      <c r="IQ178" s="4"/>
      <c r="IR178" s="4"/>
      <c r="IS178" s="4"/>
      <c r="IT178" s="4"/>
      <c r="IU178" s="4"/>
    </row>
    <row r="179" spans="1:255" ht="16.5" customHeight="1">
      <c r="A179" s="1" t="s">
        <v>71</v>
      </c>
      <c r="B179" s="1">
        <v>2017</v>
      </c>
      <c r="C179" s="1">
        <v>1250</v>
      </c>
      <c r="D179" s="1">
        <v>2</v>
      </c>
      <c r="E179" s="1">
        <v>0</v>
      </c>
      <c r="F179" s="1">
        <v>1</v>
      </c>
      <c r="G179" s="1">
        <v>1</v>
      </c>
      <c r="H179" s="1">
        <v>1</v>
      </c>
      <c r="I179" s="1">
        <v>0</v>
      </c>
      <c r="J179" s="1">
        <v>0</v>
      </c>
      <c r="K179" s="1">
        <v>0</v>
      </c>
      <c r="L179" s="1">
        <v>1</v>
      </c>
      <c r="M179" s="1">
        <v>2</v>
      </c>
      <c r="N179" s="1">
        <v>1</v>
      </c>
      <c r="O179" s="1">
        <v>2</v>
      </c>
      <c r="P179" s="1">
        <v>1</v>
      </c>
      <c r="Q179" s="1">
        <v>3</v>
      </c>
      <c r="R179" s="1">
        <v>1</v>
      </c>
      <c r="S179" s="1">
        <v>0</v>
      </c>
      <c r="T179" s="1">
        <v>2</v>
      </c>
      <c r="U179" s="1">
        <v>1</v>
      </c>
      <c r="V179" s="1">
        <v>1</v>
      </c>
      <c r="W179" s="1">
        <v>3</v>
      </c>
      <c r="X179" s="1">
        <v>3</v>
      </c>
      <c r="Y179" s="1">
        <v>5</v>
      </c>
      <c r="Z179" s="1">
        <v>5</v>
      </c>
      <c r="AA179" s="1">
        <v>1</v>
      </c>
      <c r="AB179" s="1">
        <v>4</v>
      </c>
      <c r="AC179" s="1">
        <v>4</v>
      </c>
      <c r="AD179" s="1">
        <v>2</v>
      </c>
      <c r="AE179" s="1">
        <v>9</v>
      </c>
      <c r="AF179" s="1">
        <v>4</v>
      </c>
      <c r="AG179" s="1">
        <v>3</v>
      </c>
      <c r="AH179" s="1">
        <v>4</v>
      </c>
      <c r="AI179" s="1">
        <v>4</v>
      </c>
      <c r="AJ179" s="1">
        <v>5</v>
      </c>
      <c r="AK179" s="1">
        <v>5</v>
      </c>
      <c r="AL179" s="1">
        <v>7</v>
      </c>
      <c r="AM179" s="1">
        <v>5</v>
      </c>
      <c r="AN179" s="1">
        <v>10</v>
      </c>
      <c r="AO179" s="1">
        <v>12</v>
      </c>
      <c r="AP179" s="1">
        <v>21</v>
      </c>
      <c r="AQ179" s="1">
        <v>17</v>
      </c>
      <c r="AR179" s="1">
        <v>44</v>
      </c>
      <c r="AS179" s="1">
        <v>108</v>
      </c>
      <c r="AT179" s="1">
        <v>262</v>
      </c>
      <c r="AU179" s="1">
        <v>236</v>
      </c>
      <c r="AV179" s="1">
        <v>216</v>
      </c>
      <c r="AW179" s="1">
        <v>111</v>
      </c>
      <c r="AX179" s="1">
        <v>57</v>
      </c>
      <c r="AY179" s="1">
        <v>27</v>
      </c>
      <c r="AZ179" s="1">
        <v>13</v>
      </c>
      <c r="BA179" s="1">
        <v>13</v>
      </c>
      <c r="BB179" s="1">
        <v>6</v>
      </c>
      <c r="BC179" s="1">
        <v>4</v>
      </c>
    </row>
    <row r="180" spans="1:255" ht="16.5" customHeight="1">
      <c r="A180" s="1" t="s">
        <v>71</v>
      </c>
      <c r="B180" s="1">
        <v>2018</v>
      </c>
      <c r="C180" s="1">
        <v>907</v>
      </c>
      <c r="D180" s="1">
        <v>1</v>
      </c>
      <c r="E180" s="1">
        <v>3</v>
      </c>
      <c r="F180" s="1">
        <v>3</v>
      </c>
      <c r="G180" s="1">
        <v>1</v>
      </c>
      <c r="H180" s="1">
        <v>1</v>
      </c>
      <c r="I180" s="1">
        <v>2</v>
      </c>
      <c r="J180" s="1">
        <v>0</v>
      </c>
      <c r="K180" s="1">
        <v>2</v>
      </c>
      <c r="L180" s="1">
        <v>2</v>
      </c>
      <c r="M180" s="1">
        <v>0</v>
      </c>
      <c r="N180" s="1">
        <v>1</v>
      </c>
      <c r="O180" s="1">
        <v>0</v>
      </c>
      <c r="P180" s="1">
        <v>2</v>
      </c>
      <c r="Q180" s="1">
        <v>3</v>
      </c>
      <c r="R180" s="1">
        <v>5</v>
      </c>
      <c r="S180" s="1">
        <v>3</v>
      </c>
      <c r="T180" s="1">
        <v>9</v>
      </c>
      <c r="U180" s="1">
        <v>8</v>
      </c>
      <c r="V180" s="1">
        <v>13</v>
      </c>
      <c r="W180" s="1">
        <v>12</v>
      </c>
      <c r="X180" s="1">
        <v>8</v>
      </c>
      <c r="Y180" s="1">
        <v>4</v>
      </c>
      <c r="Z180" s="1">
        <v>8</v>
      </c>
      <c r="AA180" s="1">
        <v>3</v>
      </c>
      <c r="AB180" s="1">
        <v>7</v>
      </c>
      <c r="AC180" s="1">
        <v>9</v>
      </c>
      <c r="AD180" s="1">
        <v>8</v>
      </c>
      <c r="AE180" s="1">
        <v>5</v>
      </c>
      <c r="AF180" s="1">
        <v>3</v>
      </c>
      <c r="AG180" s="1">
        <v>4</v>
      </c>
      <c r="AH180" s="1">
        <v>4</v>
      </c>
      <c r="AI180" s="1">
        <v>4</v>
      </c>
      <c r="AJ180" s="1">
        <v>2</v>
      </c>
      <c r="AK180" s="1">
        <v>5</v>
      </c>
      <c r="AL180" s="1">
        <v>5</v>
      </c>
      <c r="AM180" s="1">
        <v>2</v>
      </c>
      <c r="AN180" s="1">
        <v>5</v>
      </c>
      <c r="AO180" s="1">
        <v>6</v>
      </c>
      <c r="AP180" s="1">
        <v>9</v>
      </c>
      <c r="AQ180" s="1">
        <v>9</v>
      </c>
      <c r="AR180" s="1">
        <v>24</v>
      </c>
      <c r="AS180" s="1">
        <v>69</v>
      </c>
      <c r="AT180" s="1">
        <v>133</v>
      </c>
      <c r="AU180" s="1">
        <v>165</v>
      </c>
      <c r="AV180" s="1">
        <v>158</v>
      </c>
      <c r="AW180" s="1">
        <v>93</v>
      </c>
      <c r="AX180" s="1">
        <v>43</v>
      </c>
      <c r="AY180" s="1">
        <v>17</v>
      </c>
      <c r="AZ180" s="1">
        <v>14</v>
      </c>
      <c r="BA180" s="1">
        <v>3</v>
      </c>
      <c r="BB180" s="1">
        <v>5</v>
      </c>
      <c r="BC180" s="1">
        <v>2</v>
      </c>
    </row>
    <row r="181" spans="1:255" ht="16.5" customHeight="1">
      <c r="A181" s="1" t="s">
        <v>71</v>
      </c>
      <c r="B181" s="1">
        <v>2019</v>
      </c>
      <c r="C181" s="1">
        <v>442</v>
      </c>
      <c r="D181" s="1">
        <v>0</v>
      </c>
      <c r="E181" s="1">
        <v>2</v>
      </c>
      <c r="F181" s="1">
        <v>0</v>
      </c>
      <c r="G181" s="1">
        <v>5</v>
      </c>
      <c r="H181" s="1">
        <v>1</v>
      </c>
      <c r="I181" s="1">
        <v>0</v>
      </c>
      <c r="J181" s="1">
        <v>1</v>
      </c>
      <c r="K181" s="1">
        <v>0</v>
      </c>
      <c r="L181" s="1">
        <v>3</v>
      </c>
      <c r="M181" s="1">
        <v>4</v>
      </c>
      <c r="N181" s="1">
        <v>0</v>
      </c>
      <c r="O181" s="1">
        <v>0</v>
      </c>
      <c r="P181" s="1">
        <v>1</v>
      </c>
      <c r="Q181" s="1">
        <v>1</v>
      </c>
      <c r="R181" s="1">
        <v>0</v>
      </c>
      <c r="S181" s="1">
        <v>1</v>
      </c>
      <c r="T181" s="1">
        <v>2</v>
      </c>
      <c r="U181" s="1">
        <v>4</v>
      </c>
      <c r="V181" s="1">
        <v>0</v>
      </c>
      <c r="W181" s="1">
        <v>3</v>
      </c>
      <c r="X181" s="1">
        <v>4</v>
      </c>
      <c r="Y181" s="1">
        <v>1</v>
      </c>
      <c r="Z181" s="1">
        <v>1</v>
      </c>
      <c r="AA181" s="1">
        <v>5</v>
      </c>
      <c r="AB181" s="1">
        <v>1</v>
      </c>
      <c r="AC181" s="1">
        <v>5</v>
      </c>
      <c r="AD181" s="1">
        <v>4</v>
      </c>
      <c r="AE181" s="1">
        <v>2</v>
      </c>
      <c r="AF181" s="1">
        <v>2</v>
      </c>
      <c r="AG181" s="1">
        <v>5</v>
      </c>
      <c r="AH181" s="1">
        <v>6</v>
      </c>
      <c r="AI181" s="1">
        <v>2</v>
      </c>
      <c r="AJ181" s="1">
        <v>7</v>
      </c>
      <c r="AK181" s="1">
        <v>3</v>
      </c>
      <c r="AL181" s="1">
        <v>5</v>
      </c>
      <c r="AM181" s="1">
        <v>5</v>
      </c>
      <c r="AN181" s="1">
        <v>5</v>
      </c>
      <c r="AO181" s="1">
        <v>2</v>
      </c>
      <c r="AP181" s="1">
        <v>2</v>
      </c>
      <c r="AQ181" s="1">
        <v>3</v>
      </c>
      <c r="AR181" s="1">
        <v>7</v>
      </c>
      <c r="AS181" s="1">
        <v>13</v>
      </c>
      <c r="AT181" s="1">
        <v>15</v>
      </c>
      <c r="AU181" s="1">
        <v>53</v>
      </c>
      <c r="AV181" s="1">
        <v>81</v>
      </c>
      <c r="AW181" s="1">
        <v>74</v>
      </c>
      <c r="AX181" s="1">
        <v>46</v>
      </c>
      <c r="AY181" s="1">
        <v>30</v>
      </c>
      <c r="AZ181" s="1">
        <v>13</v>
      </c>
      <c r="BA181" s="1">
        <v>5</v>
      </c>
      <c r="BB181" s="1">
        <v>5</v>
      </c>
      <c r="BC181" s="1">
        <v>2</v>
      </c>
    </row>
    <row r="182" spans="1:255" ht="16.5" customHeight="1">
      <c r="A182" s="3" t="s">
        <v>71</v>
      </c>
      <c r="B182" s="3">
        <v>2020</v>
      </c>
      <c r="C182" s="3">
        <v>370</v>
      </c>
      <c r="D182" s="3">
        <v>0</v>
      </c>
      <c r="E182" s="3">
        <v>1</v>
      </c>
      <c r="F182" s="3">
        <v>0</v>
      </c>
      <c r="G182" s="3">
        <v>0</v>
      </c>
      <c r="H182" s="3">
        <v>0</v>
      </c>
      <c r="I182" s="3">
        <v>1</v>
      </c>
      <c r="J182" s="3">
        <v>1</v>
      </c>
      <c r="K182" s="3">
        <v>0</v>
      </c>
      <c r="L182" s="3">
        <v>1</v>
      </c>
      <c r="M182" s="3">
        <v>0</v>
      </c>
      <c r="N182" s="3">
        <v>0</v>
      </c>
      <c r="O182" s="3">
        <v>0</v>
      </c>
      <c r="P182" s="3">
        <v>1</v>
      </c>
      <c r="Q182" s="3">
        <v>2</v>
      </c>
      <c r="R182" s="3">
        <v>2</v>
      </c>
      <c r="S182" s="3">
        <v>2</v>
      </c>
      <c r="T182" s="3">
        <v>1</v>
      </c>
      <c r="U182" s="3">
        <v>0</v>
      </c>
      <c r="V182" s="3">
        <v>1</v>
      </c>
      <c r="W182" s="3">
        <v>1</v>
      </c>
      <c r="X182" s="3">
        <v>3</v>
      </c>
      <c r="Y182" s="3">
        <v>3</v>
      </c>
      <c r="Z182" s="3">
        <v>3</v>
      </c>
      <c r="AA182" s="3">
        <v>1</v>
      </c>
      <c r="AB182" s="3">
        <v>1</v>
      </c>
      <c r="AC182" s="3">
        <v>3</v>
      </c>
      <c r="AD182" s="3">
        <v>0</v>
      </c>
      <c r="AE182" s="3">
        <v>3</v>
      </c>
      <c r="AF182" s="3">
        <v>2</v>
      </c>
      <c r="AG182" s="3">
        <v>3</v>
      </c>
      <c r="AH182" s="3">
        <v>2</v>
      </c>
      <c r="AI182" s="3">
        <v>2</v>
      </c>
      <c r="AJ182" s="3">
        <v>3</v>
      </c>
      <c r="AK182" s="3">
        <v>3</v>
      </c>
      <c r="AL182" s="3">
        <v>3</v>
      </c>
      <c r="AM182" s="3">
        <v>2</v>
      </c>
      <c r="AN182" s="3">
        <v>4</v>
      </c>
      <c r="AO182" s="3">
        <v>1</v>
      </c>
      <c r="AP182" s="3">
        <v>1</v>
      </c>
      <c r="AQ182" s="3">
        <v>0</v>
      </c>
      <c r="AR182" s="3">
        <v>1</v>
      </c>
      <c r="AS182" s="3">
        <v>10</v>
      </c>
      <c r="AT182" s="3">
        <v>35</v>
      </c>
      <c r="AU182" s="3">
        <v>66</v>
      </c>
      <c r="AV182" s="3">
        <v>74</v>
      </c>
      <c r="AW182" s="3">
        <v>65</v>
      </c>
      <c r="AX182" s="3">
        <v>35</v>
      </c>
      <c r="AY182" s="3">
        <v>16</v>
      </c>
      <c r="AZ182" s="3">
        <v>5</v>
      </c>
      <c r="BA182" s="3">
        <v>5</v>
      </c>
      <c r="BB182" s="3">
        <v>1</v>
      </c>
      <c r="BC182" s="3">
        <v>0</v>
      </c>
    </row>
    <row r="183" spans="1:255" ht="16.5" customHeight="1">
      <c r="A183" s="1" t="s">
        <v>71</v>
      </c>
      <c r="B183" s="1">
        <v>2021</v>
      </c>
      <c r="C183" s="1">
        <v>570</v>
      </c>
      <c r="D183" s="1">
        <v>1</v>
      </c>
      <c r="E183" s="1">
        <v>2</v>
      </c>
      <c r="F183" s="1">
        <v>1</v>
      </c>
      <c r="G183" s="1">
        <v>0</v>
      </c>
      <c r="H183" s="1">
        <v>0</v>
      </c>
      <c r="I183" s="1">
        <v>0</v>
      </c>
      <c r="J183" s="1">
        <v>0</v>
      </c>
      <c r="K183" s="1">
        <v>2</v>
      </c>
      <c r="L183" s="1">
        <v>0</v>
      </c>
      <c r="M183" s="1">
        <v>0</v>
      </c>
      <c r="N183" s="1">
        <v>0</v>
      </c>
      <c r="O183" s="1">
        <v>1</v>
      </c>
      <c r="P183" s="1">
        <v>0</v>
      </c>
      <c r="Q183" s="1">
        <v>0</v>
      </c>
      <c r="R183" s="1">
        <v>1</v>
      </c>
      <c r="S183" s="1">
        <v>2</v>
      </c>
      <c r="T183" s="1">
        <v>1</v>
      </c>
      <c r="U183" s="1">
        <v>3</v>
      </c>
      <c r="V183" s="1">
        <v>1</v>
      </c>
      <c r="W183" s="1">
        <v>1</v>
      </c>
      <c r="X183" s="1">
        <v>2</v>
      </c>
      <c r="Y183" s="1">
        <v>6</v>
      </c>
      <c r="Z183" s="1">
        <v>2</v>
      </c>
      <c r="AA183" s="1">
        <v>2</v>
      </c>
      <c r="AB183" s="1">
        <v>5</v>
      </c>
      <c r="AC183" s="1">
        <v>3</v>
      </c>
      <c r="AD183" s="1">
        <v>2</v>
      </c>
      <c r="AE183" s="1">
        <v>1</v>
      </c>
      <c r="AF183" s="1">
        <v>4</v>
      </c>
      <c r="AG183" s="1">
        <v>2</v>
      </c>
      <c r="AH183" s="1">
        <v>1</v>
      </c>
      <c r="AI183" s="1">
        <v>0</v>
      </c>
      <c r="AJ183" s="1">
        <v>1</v>
      </c>
      <c r="AK183" s="1">
        <v>0</v>
      </c>
      <c r="AL183" s="1">
        <v>2</v>
      </c>
      <c r="AM183" s="1">
        <v>5</v>
      </c>
      <c r="AN183" s="1">
        <v>0</v>
      </c>
      <c r="AO183" s="1">
        <v>2</v>
      </c>
      <c r="AP183" s="1">
        <v>0</v>
      </c>
      <c r="AQ183" s="1">
        <v>3</v>
      </c>
      <c r="AR183" s="1">
        <v>6</v>
      </c>
      <c r="AS183" s="1">
        <v>18</v>
      </c>
      <c r="AT183" s="1">
        <v>27</v>
      </c>
      <c r="AU183" s="1">
        <v>52</v>
      </c>
      <c r="AV183" s="1">
        <v>69</v>
      </c>
      <c r="AW183" s="1">
        <v>122</v>
      </c>
      <c r="AX183" s="1">
        <v>114</v>
      </c>
      <c r="AY183" s="1">
        <v>61</v>
      </c>
      <c r="AZ183" s="1">
        <v>19</v>
      </c>
      <c r="BA183" s="1">
        <v>9</v>
      </c>
      <c r="BB183" s="1">
        <v>8</v>
      </c>
      <c r="BC183" s="1">
        <v>6</v>
      </c>
    </row>
    <row r="184" spans="1:255" ht="16.5" customHeight="1">
      <c r="A184" s="1" t="s">
        <v>71</v>
      </c>
      <c r="B184" s="1">
        <v>2022</v>
      </c>
      <c r="C184" s="1">
        <v>647</v>
      </c>
      <c r="D184" s="1">
        <v>2</v>
      </c>
      <c r="E184" s="1">
        <v>1</v>
      </c>
      <c r="F184" s="1">
        <v>0</v>
      </c>
      <c r="G184" s="1">
        <v>1</v>
      </c>
      <c r="H184" s="1">
        <v>4</v>
      </c>
      <c r="I184" s="1">
        <v>0</v>
      </c>
      <c r="J184" s="1">
        <v>0</v>
      </c>
      <c r="K184" s="1">
        <v>1</v>
      </c>
      <c r="L184" s="1">
        <v>0</v>
      </c>
      <c r="M184" s="1">
        <v>0</v>
      </c>
      <c r="N184" s="1">
        <v>0</v>
      </c>
      <c r="O184" s="1">
        <v>1</v>
      </c>
      <c r="P184" s="1">
        <v>0</v>
      </c>
      <c r="Q184" s="1">
        <v>1</v>
      </c>
      <c r="R184" s="1">
        <v>1</v>
      </c>
      <c r="S184" s="1">
        <v>0</v>
      </c>
      <c r="T184" s="1">
        <v>0</v>
      </c>
      <c r="U184" s="1">
        <v>1</v>
      </c>
      <c r="V184" s="1">
        <v>2</v>
      </c>
      <c r="W184" s="1">
        <v>0</v>
      </c>
      <c r="X184" s="1">
        <v>0</v>
      </c>
      <c r="Y184" s="1">
        <v>1</v>
      </c>
      <c r="Z184" s="1">
        <v>2</v>
      </c>
      <c r="AA184" s="1">
        <v>0</v>
      </c>
      <c r="AB184" s="1">
        <v>2</v>
      </c>
      <c r="AC184" s="1">
        <v>1</v>
      </c>
      <c r="AD184" s="1">
        <v>4</v>
      </c>
      <c r="AE184" s="1">
        <v>3</v>
      </c>
      <c r="AF184" s="1">
        <v>0</v>
      </c>
      <c r="AG184" s="1">
        <v>3</v>
      </c>
      <c r="AH184" s="1">
        <v>2</v>
      </c>
      <c r="AI184" s="1">
        <v>2</v>
      </c>
      <c r="AJ184" s="1">
        <v>3</v>
      </c>
      <c r="AK184" s="1">
        <v>5</v>
      </c>
      <c r="AL184" s="1">
        <v>5</v>
      </c>
      <c r="AM184" s="1">
        <v>1</v>
      </c>
      <c r="AN184" s="1">
        <v>2</v>
      </c>
      <c r="AO184" s="1">
        <v>4</v>
      </c>
      <c r="AP184" s="1">
        <v>4</v>
      </c>
      <c r="AQ184" s="1">
        <v>2</v>
      </c>
      <c r="AR184" s="1">
        <v>5</v>
      </c>
      <c r="AS184" s="1">
        <v>17</v>
      </c>
      <c r="AT184" s="1">
        <v>77</v>
      </c>
      <c r="AU184" s="1">
        <v>90</v>
      </c>
      <c r="AV184" s="1">
        <v>127</v>
      </c>
      <c r="AW184" s="1">
        <v>118</v>
      </c>
      <c r="AX184" s="1">
        <v>84</v>
      </c>
      <c r="AY184" s="1">
        <v>36</v>
      </c>
      <c r="AZ184" s="1">
        <v>16</v>
      </c>
      <c r="BA184" s="1">
        <v>8</v>
      </c>
      <c r="BB184" s="1">
        <v>3</v>
      </c>
      <c r="BC184" s="1">
        <v>3</v>
      </c>
    </row>
    <row r="185" spans="1:255" ht="16.5" customHeight="1">
      <c r="A185" s="1" t="s">
        <v>71</v>
      </c>
      <c r="B185" s="1">
        <v>2023</v>
      </c>
      <c r="C185" s="1">
        <v>788</v>
      </c>
      <c r="D185" s="1">
        <v>2</v>
      </c>
      <c r="E185" s="1">
        <v>0</v>
      </c>
      <c r="F185" s="1">
        <v>2</v>
      </c>
      <c r="G185" s="1">
        <v>1</v>
      </c>
      <c r="H185" s="1">
        <v>3</v>
      </c>
      <c r="I185" s="1">
        <v>5</v>
      </c>
      <c r="J185" s="1">
        <v>0</v>
      </c>
      <c r="K185" s="1">
        <v>1</v>
      </c>
      <c r="L185" s="1">
        <v>1</v>
      </c>
      <c r="M185" s="1">
        <v>1</v>
      </c>
      <c r="N185" s="1">
        <v>1</v>
      </c>
      <c r="O185" s="1">
        <v>0</v>
      </c>
      <c r="P185" s="1">
        <v>1</v>
      </c>
      <c r="Q185" s="1">
        <v>3</v>
      </c>
      <c r="R185" s="1">
        <v>0</v>
      </c>
      <c r="S185" s="1">
        <v>3</v>
      </c>
      <c r="T185" s="1">
        <v>5</v>
      </c>
      <c r="U185" s="1">
        <v>1</v>
      </c>
      <c r="V185" s="1">
        <v>2</v>
      </c>
      <c r="W185" s="1">
        <v>1</v>
      </c>
      <c r="X185" s="1">
        <v>0</v>
      </c>
      <c r="Y185" s="1">
        <v>1</v>
      </c>
      <c r="Z185" s="1">
        <v>5</v>
      </c>
      <c r="AA185" s="1">
        <v>1</v>
      </c>
      <c r="AB185" s="1">
        <v>3</v>
      </c>
      <c r="AC185" s="1">
        <v>2</v>
      </c>
      <c r="AD185" s="1">
        <v>2</v>
      </c>
      <c r="AE185" s="1">
        <v>2</v>
      </c>
      <c r="AF185" s="1">
        <v>0</v>
      </c>
      <c r="AG185" s="1">
        <v>3</v>
      </c>
      <c r="AH185" s="1">
        <v>3</v>
      </c>
      <c r="AI185" s="1">
        <v>2</v>
      </c>
      <c r="AJ185" s="1">
        <v>3</v>
      </c>
      <c r="AK185" s="1">
        <v>4</v>
      </c>
      <c r="AL185" s="1">
        <v>4</v>
      </c>
      <c r="AM185" s="1">
        <v>3</v>
      </c>
      <c r="AN185" s="1">
        <v>6</v>
      </c>
      <c r="AO185" s="1">
        <v>4</v>
      </c>
      <c r="AP185" s="1">
        <v>7</v>
      </c>
      <c r="AQ185" s="1">
        <v>3</v>
      </c>
      <c r="AR185" s="1">
        <v>7</v>
      </c>
      <c r="AS185" s="1">
        <v>18</v>
      </c>
      <c r="AT185" s="1">
        <v>81</v>
      </c>
      <c r="AU185" s="1">
        <v>139</v>
      </c>
      <c r="AV185" s="1">
        <v>141</v>
      </c>
      <c r="AW185" s="1">
        <v>140</v>
      </c>
      <c r="AX185" s="1">
        <v>91</v>
      </c>
      <c r="AY185" s="1">
        <v>37</v>
      </c>
      <c r="AZ185" s="1">
        <v>22</v>
      </c>
      <c r="BA185" s="1">
        <v>5</v>
      </c>
      <c r="BB185" s="1">
        <v>10</v>
      </c>
      <c r="BC185" s="1">
        <v>6</v>
      </c>
    </row>
    <row r="186" spans="1:255" ht="16.5" customHeight="1">
      <c r="A186" s="1" t="s">
        <v>71</v>
      </c>
      <c r="B186" s="1">
        <v>2024</v>
      </c>
      <c r="C186" s="1">
        <v>805</v>
      </c>
      <c r="D186" s="1">
        <v>1</v>
      </c>
      <c r="E186" s="1">
        <v>4</v>
      </c>
      <c r="F186" s="1">
        <v>2</v>
      </c>
      <c r="G186" s="1">
        <v>3</v>
      </c>
      <c r="H186" s="1">
        <v>1</v>
      </c>
      <c r="I186" s="1">
        <v>1</v>
      </c>
      <c r="J186" s="1">
        <v>1</v>
      </c>
      <c r="K186" s="1">
        <v>0</v>
      </c>
      <c r="L186" s="1">
        <v>0</v>
      </c>
      <c r="M186" s="1">
        <v>1</v>
      </c>
      <c r="N186" s="1">
        <v>3</v>
      </c>
      <c r="O186" s="1">
        <v>1</v>
      </c>
      <c r="P186" s="1">
        <v>1</v>
      </c>
      <c r="Q186" s="1">
        <v>0</v>
      </c>
      <c r="R186" s="1">
        <v>0</v>
      </c>
      <c r="S186" s="1">
        <v>2</v>
      </c>
      <c r="T186" s="1">
        <v>3</v>
      </c>
      <c r="U186" s="1">
        <v>3</v>
      </c>
      <c r="V186" s="1">
        <v>2</v>
      </c>
      <c r="W186" s="1">
        <v>3</v>
      </c>
      <c r="X186" s="1">
        <v>5</v>
      </c>
      <c r="Y186" s="1">
        <v>3</v>
      </c>
      <c r="Z186" s="1">
        <v>1</v>
      </c>
      <c r="AA186" s="1">
        <v>0</v>
      </c>
      <c r="AB186" s="1">
        <v>3</v>
      </c>
      <c r="AC186" s="1">
        <v>2</v>
      </c>
      <c r="AD186" s="1">
        <v>1</v>
      </c>
      <c r="AE186" s="1">
        <v>9</v>
      </c>
      <c r="AF186" s="1">
        <v>1</v>
      </c>
      <c r="AG186" s="1">
        <v>2</v>
      </c>
      <c r="AH186" s="1">
        <v>1</v>
      </c>
      <c r="AI186" s="1">
        <v>4</v>
      </c>
      <c r="AJ186" s="1">
        <v>1</v>
      </c>
      <c r="AK186" s="1">
        <v>3</v>
      </c>
      <c r="AL186" s="1">
        <v>1</v>
      </c>
      <c r="AM186" s="1">
        <v>2</v>
      </c>
      <c r="AN186" s="1">
        <v>1</v>
      </c>
      <c r="AO186" s="1">
        <v>2</v>
      </c>
      <c r="AP186" s="1">
        <v>1</v>
      </c>
      <c r="AQ186" s="1">
        <v>0</v>
      </c>
      <c r="AR186" s="1">
        <v>0</v>
      </c>
      <c r="AS186" s="1">
        <v>4</v>
      </c>
      <c r="AT186" s="1">
        <v>48</v>
      </c>
      <c r="AU186" s="1">
        <v>138</v>
      </c>
      <c r="AV186" s="1">
        <v>135</v>
      </c>
      <c r="AW186" s="1">
        <v>128</v>
      </c>
      <c r="AX186" s="1">
        <v>124</v>
      </c>
      <c r="AY186" s="1">
        <v>73</v>
      </c>
      <c r="AZ186" s="1">
        <v>58</v>
      </c>
      <c r="BA186" s="1">
        <v>16</v>
      </c>
      <c r="BB186" s="1">
        <v>5</v>
      </c>
      <c r="BC186" s="1">
        <v>1</v>
      </c>
    </row>
    <row r="187" spans="1:255" ht="16.5" customHeight="1">
      <c r="A187" s="1" t="s">
        <v>71</v>
      </c>
      <c r="B187" s="1">
        <v>2025</v>
      </c>
      <c r="C187" s="1">
        <v>605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1</v>
      </c>
      <c r="Q187" s="1">
        <v>2</v>
      </c>
      <c r="R187" s="1">
        <v>1</v>
      </c>
      <c r="S187" s="1">
        <v>1</v>
      </c>
      <c r="T187" s="1">
        <v>0</v>
      </c>
      <c r="U187" s="1">
        <v>0</v>
      </c>
      <c r="V187" s="1">
        <v>1</v>
      </c>
      <c r="W187" s="1">
        <v>2</v>
      </c>
      <c r="X187" s="1">
        <v>3</v>
      </c>
      <c r="Y187" s="1">
        <v>2</v>
      </c>
      <c r="Z187" s="1">
        <v>1</v>
      </c>
      <c r="AA187" s="1">
        <v>1</v>
      </c>
      <c r="AB187" s="1">
        <v>0</v>
      </c>
      <c r="AC187" s="1">
        <v>1</v>
      </c>
      <c r="AD187" s="1">
        <v>1</v>
      </c>
      <c r="AE187" s="1">
        <v>1</v>
      </c>
      <c r="AF187" s="1">
        <v>1</v>
      </c>
      <c r="AG187" s="1">
        <v>1</v>
      </c>
      <c r="AH187" s="1">
        <v>0</v>
      </c>
      <c r="AI187" s="1">
        <v>0</v>
      </c>
      <c r="AJ187" s="1">
        <v>0</v>
      </c>
      <c r="AK187" s="1">
        <v>1</v>
      </c>
      <c r="AL187" s="1">
        <v>0</v>
      </c>
      <c r="AM187" s="1">
        <v>0</v>
      </c>
      <c r="AN187" s="1">
        <v>1</v>
      </c>
      <c r="AO187" s="1">
        <v>0</v>
      </c>
      <c r="AP187" s="1">
        <v>0</v>
      </c>
      <c r="AQ187" s="1">
        <v>4</v>
      </c>
      <c r="AR187" s="1">
        <v>0</v>
      </c>
      <c r="AS187" s="1">
        <v>10</v>
      </c>
      <c r="AT187" s="1">
        <v>25</v>
      </c>
      <c r="AU187" s="1">
        <v>44</v>
      </c>
      <c r="AV187" s="1">
        <v>47</v>
      </c>
      <c r="AW187" s="1">
        <v>153</v>
      </c>
      <c r="AX187" s="1">
        <v>155</v>
      </c>
      <c r="AY187" s="1">
        <v>97</v>
      </c>
      <c r="AZ187" s="1">
        <v>33</v>
      </c>
      <c r="BA187" s="1">
        <v>13</v>
      </c>
      <c r="BB187" s="1">
        <v>2</v>
      </c>
      <c r="BC187" s="1">
        <v>0</v>
      </c>
    </row>
    <row r="188" spans="1:255" ht="16.5" customHeight="1">
      <c r="A188" s="2" t="s">
        <v>2</v>
      </c>
      <c r="B188" s="2"/>
      <c r="C188" s="2">
        <f t="shared" ref="C188:AH188" si="32">SUM(C178:C187)</f>
        <v>7390</v>
      </c>
      <c r="D188" s="2">
        <f t="shared" si="32"/>
        <v>9</v>
      </c>
      <c r="E188" s="2">
        <f t="shared" si="32"/>
        <v>14</v>
      </c>
      <c r="F188" s="2">
        <f t="shared" si="32"/>
        <v>9</v>
      </c>
      <c r="G188" s="2">
        <f t="shared" si="32"/>
        <v>13</v>
      </c>
      <c r="H188" s="2">
        <f t="shared" si="32"/>
        <v>11</v>
      </c>
      <c r="I188" s="2">
        <f t="shared" si="32"/>
        <v>10</v>
      </c>
      <c r="J188" s="2">
        <f t="shared" si="32"/>
        <v>5</v>
      </c>
      <c r="K188" s="2">
        <f t="shared" si="32"/>
        <v>8</v>
      </c>
      <c r="L188" s="2">
        <f t="shared" si="32"/>
        <v>8</v>
      </c>
      <c r="M188" s="2">
        <f t="shared" si="32"/>
        <v>8</v>
      </c>
      <c r="N188" s="2">
        <f t="shared" si="32"/>
        <v>7</v>
      </c>
      <c r="O188" s="2">
        <f t="shared" si="32"/>
        <v>5</v>
      </c>
      <c r="P188" s="2">
        <f t="shared" si="32"/>
        <v>9</v>
      </c>
      <c r="Q188" s="2">
        <f t="shared" si="32"/>
        <v>16</v>
      </c>
      <c r="R188" s="2">
        <f t="shared" si="32"/>
        <v>12</v>
      </c>
      <c r="S188" s="2">
        <f t="shared" si="32"/>
        <v>16</v>
      </c>
      <c r="T188" s="2">
        <f t="shared" si="32"/>
        <v>29</v>
      </c>
      <c r="U188" s="2">
        <f t="shared" si="32"/>
        <v>26</v>
      </c>
      <c r="V188" s="2">
        <f t="shared" si="32"/>
        <v>25</v>
      </c>
      <c r="W188" s="2">
        <f t="shared" si="32"/>
        <v>30</v>
      </c>
      <c r="X188" s="2">
        <f t="shared" si="32"/>
        <v>30</v>
      </c>
      <c r="Y188" s="2">
        <f t="shared" si="32"/>
        <v>26</v>
      </c>
      <c r="Z188" s="2">
        <f t="shared" si="32"/>
        <v>33</v>
      </c>
      <c r="AA188" s="2">
        <f t="shared" si="32"/>
        <v>18</v>
      </c>
      <c r="AB188" s="2">
        <f t="shared" si="32"/>
        <v>27</v>
      </c>
      <c r="AC188" s="2">
        <f t="shared" si="32"/>
        <v>33</v>
      </c>
      <c r="AD188" s="2">
        <f t="shared" si="32"/>
        <v>26</v>
      </c>
      <c r="AE188" s="2">
        <f t="shared" si="32"/>
        <v>36</v>
      </c>
      <c r="AF188" s="2">
        <f t="shared" si="32"/>
        <v>18</v>
      </c>
      <c r="AG188" s="2">
        <f t="shared" si="32"/>
        <v>26</v>
      </c>
      <c r="AH188" s="2">
        <f t="shared" si="32"/>
        <v>25</v>
      </c>
      <c r="AI188" s="2">
        <f t="shared" ref="AI188:BD188" si="33">SUM(AI178:AI187)</f>
        <v>20</v>
      </c>
      <c r="AJ188" s="2">
        <f t="shared" si="33"/>
        <v>26</v>
      </c>
      <c r="AK188" s="2">
        <f t="shared" si="33"/>
        <v>30</v>
      </c>
      <c r="AL188" s="2">
        <f t="shared" si="33"/>
        <v>35</v>
      </c>
      <c r="AM188" s="2">
        <f t="shared" si="33"/>
        <v>29</v>
      </c>
      <c r="AN188" s="2">
        <f t="shared" si="33"/>
        <v>36</v>
      </c>
      <c r="AO188" s="2">
        <f t="shared" si="33"/>
        <v>35</v>
      </c>
      <c r="AP188" s="2">
        <f t="shared" si="33"/>
        <v>54</v>
      </c>
      <c r="AQ188" s="2">
        <f t="shared" si="33"/>
        <v>45</v>
      </c>
      <c r="AR188" s="2">
        <f t="shared" si="33"/>
        <v>103</v>
      </c>
      <c r="AS188" s="2">
        <f t="shared" si="33"/>
        <v>295</v>
      </c>
      <c r="AT188" s="2">
        <f t="shared" si="33"/>
        <v>749</v>
      </c>
      <c r="AU188" s="2">
        <f t="shared" si="33"/>
        <v>1076</v>
      </c>
      <c r="AV188" s="2">
        <f t="shared" si="33"/>
        <v>1294</v>
      </c>
      <c r="AW188" s="2">
        <f t="shared" si="33"/>
        <v>1253</v>
      </c>
      <c r="AX188" s="2">
        <f t="shared" si="33"/>
        <v>880</v>
      </c>
      <c r="AY188" s="2">
        <f t="shared" si="33"/>
        <v>447</v>
      </c>
      <c r="AZ188" s="2">
        <f t="shared" si="33"/>
        <v>231</v>
      </c>
      <c r="BA188" s="2">
        <f t="shared" si="33"/>
        <v>99</v>
      </c>
      <c r="BB188" s="2">
        <f t="shared" si="33"/>
        <v>54</v>
      </c>
      <c r="BC188" s="2">
        <f t="shared" si="33"/>
        <v>27</v>
      </c>
      <c r="BD188" s="2">
        <f t="shared" si="33"/>
        <v>2</v>
      </c>
    </row>
    <row r="189" spans="1:255" ht="16.5" customHeight="1">
      <c r="A189" s="4" t="s">
        <v>72</v>
      </c>
      <c r="B189" s="4">
        <v>2016</v>
      </c>
      <c r="C189" s="4">
        <v>252</v>
      </c>
      <c r="D189" s="5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1</v>
      </c>
      <c r="T189" s="4">
        <v>0</v>
      </c>
      <c r="U189" s="4">
        <v>0</v>
      </c>
      <c r="V189" s="4">
        <v>1</v>
      </c>
      <c r="W189" s="4">
        <v>0</v>
      </c>
      <c r="X189" s="4">
        <v>0</v>
      </c>
      <c r="Y189" s="4">
        <v>1</v>
      </c>
      <c r="Z189" s="4">
        <v>2</v>
      </c>
      <c r="AA189" s="4">
        <v>1</v>
      </c>
      <c r="AB189" s="4">
        <v>0</v>
      </c>
      <c r="AC189" s="4">
        <v>0</v>
      </c>
      <c r="AD189" s="4">
        <v>3</v>
      </c>
      <c r="AE189" s="4">
        <v>0</v>
      </c>
      <c r="AF189" s="4">
        <v>0</v>
      </c>
      <c r="AG189" s="4">
        <v>0</v>
      </c>
      <c r="AH189" s="4">
        <v>0</v>
      </c>
      <c r="AI189" s="4">
        <v>1</v>
      </c>
      <c r="AJ189" s="4">
        <v>1</v>
      </c>
      <c r="AK189" s="4">
        <v>0</v>
      </c>
      <c r="AL189" s="4">
        <v>0</v>
      </c>
      <c r="AM189" s="4">
        <v>1</v>
      </c>
      <c r="AN189" s="4">
        <v>1</v>
      </c>
      <c r="AO189" s="4">
        <v>5</v>
      </c>
      <c r="AP189" s="4">
        <v>2</v>
      </c>
      <c r="AQ189" s="4">
        <v>3</v>
      </c>
      <c r="AR189" s="4">
        <v>2</v>
      </c>
      <c r="AS189" s="4">
        <v>8</v>
      </c>
      <c r="AT189" s="4">
        <v>12</v>
      </c>
      <c r="AU189" s="4">
        <v>20</v>
      </c>
      <c r="AV189" s="4">
        <v>63</v>
      </c>
      <c r="AW189" s="4">
        <v>75</v>
      </c>
      <c r="AX189" s="4">
        <v>25</v>
      </c>
      <c r="AY189" s="4">
        <v>10</v>
      </c>
      <c r="AZ189" s="4">
        <v>8</v>
      </c>
      <c r="BA189" s="4">
        <v>0</v>
      </c>
      <c r="BB189" s="4">
        <v>1</v>
      </c>
      <c r="BC189" s="4">
        <v>2</v>
      </c>
      <c r="BD189" s="4">
        <v>3</v>
      </c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4"/>
      <c r="DL189" s="4"/>
      <c r="DM189" s="4"/>
      <c r="DN189" s="4"/>
      <c r="DO189" s="4"/>
      <c r="DP189" s="4"/>
      <c r="DQ189" s="4"/>
      <c r="DR189" s="4"/>
      <c r="DS189" s="4"/>
      <c r="DT189" s="4"/>
      <c r="DU189" s="4"/>
      <c r="DV189" s="4"/>
      <c r="DW189" s="4"/>
      <c r="DX189" s="4"/>
      <c r="DY189" s="4"/>
      <c r="DZ189" s="4"/>
      <c r="EA189" s="4"/>
      <c r="EB189" s="4"/>
      <c r="EC189" s="4"/>
      <c r="ED189" s="4"/>
      <c r="EE189" s="4"/>
      <c r="EF189" s="4"/>
      <c r="EG189" s="4"/>
      <c r="EH189" s="4"/>
      <c r="EI189" s="4"/>
      <c r="EJ189" s="4"/>
      <c r="EK189" s="4"/>
      <c r="EL189" s="4"/>
      <c r="EM189" s="4"/>
      <c r="EN189" s="4"/>
      <c r="EO189" s="4"/>
      <c r="EP189" s="4"/>
      <c r="EQ189" s="4"/>
      <c r="ER189" s="4"/>
      <c r="ES189" s="4"/>
      <c r="ET189" s="4"/>
      <c r="EU189" s="4"/>
      <c r="EV189" s="4"/>
      <c r="EW189" s="4"/>
      <c r="EX189" s="4"/>
      <c r="EY189" s="4"/>
      <c r="EZ189" s="4"/>
      <c r="FA189" s="4"/>
      <c r="FB189" s="4"/>
      <c r="FC189" s="4"/>
      <c r="FD189" s="4"/>
      <c r="FE189" s="4"/>
      <c r="FF189" s="4"/>
      <c r="FG189" s="4"/>
      <c r="FH189" s="4"/>
      <c r="FI189" s="4"/>
      <c r="FJ189" s="4"/>
      <c r="FK189" s="4"/>
      <c r="FL189" s="4"/>
      <c r="FM189" s="4"/>
      <c r="FN189" s="4"/>
      <c r="FO189" s="4"/>
      <c r="FP189" s="4"/>
      <c r="FQ189" s="4"/>
      <c r="FR189" s="4"/>
      <c r="FS189" s="4"/>
      <c r="FT189" s="4"/>
      <c r="FU189" s="4"/>
      <c r="FV189" s="4"/>
      <c r="FW189" s="4"/>
      <c r="FX189" s="4"/>
      <c r="FY189" s="4"/>
      <c r="FZ189" s="4"/>
      <c r="GA189" s="4"/>
      <c r="GB189" s="4"/>
      <c r="GC189" s="4"/>
      <c r="GD189" s="4"/>
      <c r="GE189" s="4"/>
      <c r="GF189" s="4"/>
      <c r="GG189" s="4"/>
      <c r="GH189" s="4"/>
      <c r="GI189" s="4"/>
      <c r="GJ189" s="4"/>
      <c r="GK189" s="4"/>
      <c r="GL189" s="4"/>
      <c r="GM189" s="4"/>
      <c r="GN189" s="4"/>
      <c r="GO189" s="4"/>
      <c r="GP189" s="4"/>
      <c r="GQ189" s="4"/>
      <c r="GR189" s="4"/>
      <c r="GS189" s="4"/>
      <c r="GT189" s="4"/>
      <c r="GU189" s="4"/>
      <c r="GV189" s="4"/>
      <c r="GW189" s="4"/>
      <c r="GX189" s="4"/>
      <c r="GY189" s="4"/>
      <c r="GZ189" s="4"/>
      <c r="HA189" s="4"/>
      <c r="HB189" s="4"/>
      <c r="HC189" s="4"/>
      <c r="HD189" s="4"/>
      <c r="HE189" s="4"/>
      <c r="HF189" s="4"/>
      <c r="HG189" s="4"/>
      <c r="HH189" s="4"/>
      <c r="HI189" s="4"/>
      <c r="HJ189" s="4"/>
      <c r="HK189" s="4"/>
      <c r="HL189" s="4"/>
      <c r="HM189" s="4"/>
      <c r="HN189" s="4"/>
      <c r="HO189" s="4"/>
      <c r="HP189" s="4"/>
      <c r="HQ189" s="4"/>
      <c r="HR189" s="4"/>
      <c r="HS189" s="4"/>
      <c r="HT189" s="4"/>
      <c r="HU189" s="4"/>
      <c r="HV189" s="4"/>
      <c r="HW189" s="4"/>
      <c r="HX189" s="4"/>
      <c r="HY189" s="4"/>
      <c r="HZ189" s="4"/>
      <c r="IA189" s="4"/>
      <c r="IB189" s="4"/>
      <c r="IC189" s="4"/>
      <c r="ID189" s="4"/>
      <c r="IE189" s="4"/>
      <c r="IF189" s="4"/>
      <c r="IG189" s="4"/>
      <c r="IH189" s="4"/>
      <c r="II189" s="4"/>
      <c r="IJ189" s="4"/>
      <c r="IK189" s="4"/>
      <c r="IL189" s="4"/>
      <c r="IM189" s="4"/>
      <c r="IN189" s="4"/>
      <c r="IO189" s="4"/>
      <c r="IP189" s="4"/>
      <c r="IQ189" s="4"/>
      <c r="IR189" s="4"/>
      <c r="IS189" s="4"/>
      <c r="IT189" s="4"/>
      <c r="IU189" s="4"/>
    </row>
    <row r="190" spans="1:255" ht="16.5" customHeight="1">
      <c r="A190" s="1" t="s">
        <v>72</v>
      </c>
      <c r="B190" s="1">
        <v>2017</v>
      </c>
      <c r="C190" s="1">
        <v>240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2</v>
      </c>
      <c r="Q190" s="1">
        <v>2</v>
      </c>
      <c r="R190" s="1">
        <v>1</v>
      </c>
      <c r="S190" s="1">
        <v>0</v>
      </c>
      <c r="T190" s="1">
        <v>1</v>
      </c>
      <c r="U190" s="1">
        <v>1</v>
      </c>
      <c r="V190" s="1">
        <v>0</v>
      </c>
      <c r="W190" s="1">
        <v>1</v>
      </c>
      <c r="X190" s="1">
        <v>1</v>
      </c>
      <c r="Y190" s="1">
        <v>0</v>
      </c>
      <c r="Z190" s="1">
        <v>1</v>
      </c>
      <c r="AA190" s="1">
        <v>0</v>
      </c>
      <c r="AB190" s="1">
        <v>0</v>
      </c>
      <c r="AC190" s="1">
        <v>2</v>
      </c>
      <c r="AD190" s="1">
        <v>0</v>
      </c>
      <c r="AE190" s="1">
        <v>0</v>
      </c>
      <c r="AF190" s="1">
        <v>0</v>
      </c>
      <c r="AG190" s="1">
        <v>0</v>
      </c>
      <c r="AH190" s="1">
        <v>1</v>
      </c>
      <c r="AI190" s="1">
        <v>0</v>
      </c>
      <c r="AJ190" s="1">
        <v>2</v>
      </c>
      <c r="AK190" s="1">
        <v>1</v>
      </c>
      <c r="AL190" s="1">
        <v>0</v>
      </c>
      <c r="AM190" s="1">
        <v>0</v>
      </c>
      <c r="AN190" s="1">
        <v>0</v>
      </c>
      <c r="AO190" s="1">
        <v>3</v>
      </c>
      <c r="AP190" s="1">
        <v>0</v>
      </c>
      <c r="AQ190" s="1">
        <v>4</v>
      </c>
      <c r="AR190" s="1">
        <v>16</v>
      </c>
      <c r="AS190" s="1">
        <v>21</v>
      </c>
      <c r="AT190" s="1">
        <v>57</v>
      </c>
      <c r="AU190" s="1">
        <v>41</v>
      </c>
      <c r="AV190" s="1">
        <v>45</v>
      </c>
      <c r="AW190" s="1">
        <v>16</v>
      </c>
      <c r="AX190" s="1">
        <v>10</v>
      </c>
      <c r="AY190" s="1">
        <v>4</v>
      </c>
      <c r="AZ190" s="1">
        <v>4</v>
      </c>
      <c r="BA190" s="1">
        <v>1</v>
      </c>
      <c r="BB190" s="1">
        <v>2</v>
      </c>
      <c r="BC190" s="1">
        <v>0</v>
      </c>
    </row>
    <row r="191" spans="1:255" ht="16.5" customHeight="1">
      <c r="A191" s="1" t="s">
        <v>72</v>
      </c>
      <c r="B191" s="1">
        <v>2018</v>
      </c>
      <c r="C191" s="1">
        <v>184</v>
      </c>
      <c r="D191" s="1">
        <v>1</v>
      </c>
      <c r="E191" s="1">
        <v>2</v>
      </c>
      <c r="F191" s="1">
        <v>1</v>
      </c>
      <c r="G191" s="1">
        <v>1</v>
      </c>
      <c r="H191" s="1">
        <v>1</v>
      </c>
      <c r="I191" s="1">
        <v>1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2</v>
      </c>
      <c r="R191" s="1">
        <v>0</v>
      </c>
      <c r="S191" s="1">
        <v>3</v>
      </c>
      <c r="T191" s="1">
        <v>0</v>
      </c>
      <c r="U191" s="1">
        <v>0</v>
      </c>
      <c r="V191" s="1">
        <v>0</v>
      </c>
      <c r="W191" s="1">
        <v>2</v>
      </c>
      <c r="X191" s="1">
        <v>6</v>
      </c>
      <c r="Y191" s="1">
        <v>3</v>
      </c>
      <c r="Z191" s="1">
        <v>2</v>
      </c>
      <c r="AA191" s="1">
        <v>2</v>
      </c>
      <c r="AB191" s="1">
        <v>2</v>
      </c>
      <c r="AC191" s="1">
        <v>3</v>
      </c>
      <c r="AD191" s="1">
        <v>2</v>
      </c>
      <c r="AE191" s="1">
        <v>0</v>
      </c>
      <c r="AF191" s="1">
        <v>1</v>
      </c>
      <c r="AG191" s="1">
        <v>0</v>
      </c>
      <c r="AH191" s="1">
        <v>1</v>
      </c>
      <c r="AI191" s="1">
        <v>0</v>
      </c>
      <c r="AJ191" s="1">
        <v>0</v>
      </c>
      <c r="AK191" s="1">
        <v>1</v>
      </c>
      <c r="AL191" s="1">
        <v>0</v>
      </c>
      <c r="AM191" s="1">
        <v>1</v>
      </c>
      <c r="AN191" s="1">
        <v>1</v>
      </c>
      <c r="AO191" s="1">
        <v>1</v>
      </c>
      <c r="AP191" s="1">
        <v>2</v>
      </c>
      <c r="AQ191" s="1">
        <v>0</v>
      </c>
      <c r="AR191" s="1">
        <v>2</v>
      </c>
      <c r="AS191" s="1">
        <v>7</v>
      </c>
      <c r="AT191" s="1">
        <v>23</v>
      </c>
      <c r="AU191" s="1">
        <v>33</v>
      </c>
      <c r="AV191" s="1">
        <v>44</v>
      </c>
      <c r="AW191" s="1">
        <v>15</v>
      </c>
      <c r="AX191" s="1">
        <v>10</v>
      </c>
      <c r="AY191" s="1">
        <v>3</v>
      </c>
      <c r="AZ191" s="1">
        <v>2</v>
      </c>
      <c r="BA191" s="1">
        <v>2</v>
      </c>
      <c r="BB191" s="1">
        <v>1</v>
      </c>
      <c r="BC191" s="1">
        <v>0</v>
      </c>
    </row>
    <row r="192" spans="1:255" ht="16.5" customHeight="1">
      <c r="A192" s="1" t="s">
        <v>72</v>
      </c>
      <c r="B192" s="1">
        <v>2019</v>
      </c>
      <c r="C192" s="1">
        <v>94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1</v>
      </c>
      <c r="L192" s="1">
        <v>0</v>
      </c>
      <c r="M192" s="1">
        <v>1</v>
      </c>
      <c r="N192" s="1">
        <v>0</v>
      </c>
      <c r="O192" s="1">
        <v>0</v>
      </c>
      <c r="P192" s="1">
        <v>0</v>
      </c>
      <c r="Q192" s="1">
        <v>0</v>
      </c>
      <c r="R192" s="1">
        <v>1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1</v>
      </c>
      <c r="AE192" s="1">
        <v>0</v>
      </c>
      <c r="AF192" s="1">
        <v>0</v>
      </c>
      <c r="AG192" s="1">
        <v>2</v>
      </c>
      <c r="AH192" s="1">
        <v>2</v>
      </c>
      <c r="AI192" s="1">
        <v>1</v>
      </c>
      <c r="AJ192" s="1">
        <v>0</v>
      </c>
      <c r="AK192" s="1">
        <v>2</v>
      </c>
      <c r="AL192" s="1">
        <v>0</v>
      </c>
      <c r="AM192" s="1">
        <v>0</v>
      </c>
      <c r="AN192" s="1">
        <v>0</v>
      </c>
      <c r="AO192" s="1">
        <v>0</v>
      </c>
      <c r="AP192" s="1">
        <v>1</v>
      </c>
      <c r="AQ192" s="1">
        <v>0</v>
      </c>
      <c r="AR192" s="1">
        <v>1</v>
      </c>
      <c r="AS192" s="1">
        <v>3</v>
      </c>
      <c r="AT192" s="1">
        <v>6</v>
      </c>
      <c r="AU192" s="1">
        <v>12</v>
      </c>
      <c r="AV192" s="1">
        <v>26</v>
      </c>
      <c r="AW192" s="1">
        <v>19</v>
      </c>
      <c r="AX192" s="1">
        <v>6</v>
      </c>
      <c r="AY192" s="1">
        <v>4</v>
      </c>
      <c r="AZ192" s="1">
        <v>3</v>
      </c>
      <c r="BA192" s="1">
        <v>0</v>
      </c>
      <c r="BB192" s="1">
        <v>1</v>
      </c>
      <c r="BC192" s="1">
        <v>1</v>
      </c>
    </row>
    <row r="193" spans="1:56" ht="16.5" customHeight="1">
      <c r="A193" s="1" t="s">
        <v>72</v>
      </c>
      <c r="B193" s="1">
        <v>2020</v>
      </c>
      <c r="C193" s="1">
        <v>69</v>
      </c>
      <c r="D193" s="1">
        <v>3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1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1</v>
      </c>
      <c r="AB193" s="1">
        <v>0</v>
      </c>
      <c r="AC193" s="1">
        <v>1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1</v>
      </c>
      <c r="AM193" s="1">
        <v>0</v>
      </c>
      <c r="AN193" s="1">
        <v>1</v>
      </c>
      <c r="AO193" s="1">
        <v>0</v>
      </c>
      <c r="AP193" s="1">
        <v>1</v>
      </c>
      <c r="AQ193" s="1">
        <v>0</v>
      </c>
      <c r="AR193" s="1">
        <v>0</v>
      </c>
      <c r="AS193" s="1">
        <v>3</v>
      </c>
      <c r="AT193" s="1">
        <v>11</v>
      </c>
      <c r="AU193" s="1">
        <v>8</v>
      </c>
      <c r="AV193" s="1">
        <v>10</v>
      </c>
      <c r="AW193" s="1">
        <v>15</v>
      </c>
      <c r="AX193" s="1">
        <v>4</v>
      </c>
      <c r="AY193" s="1">
        <v>7</v>
      </c>
      <c r="AZ193" s="1">
        <v>1</v>
      </c>
      <c r="BA193" s="1">
        <v>1</v>
      </c>
      <c r="BB193" s="1">
        <v>0</v>
      </c>
      <c r="BC193" s="1">
        <v>0</v>
      </c>
    </row>
    <row r="194" spans="1:56" ht="16.5" customHeight="1">
      <c r="A194" s="3" t="s">
        <v>72</v>
      </c>
      <c r="B194" s="3">
        <v>2021</v>
      </c>
      <c r="C194" s="3">
        <v>118</v>
      </c>
      <c r="D194" s="3">
        <v>0</v>
      </c>
      <c r="E194" s="3">
        <v>0</v>
      </c>
      <c r="F194" s="3">
        <v>1</v>
      </c>
      <c r="G194" s="3">
        <v>0</v>
      </c>
      <c r="H194" s="3">
        <v>1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1</v>
      </c>
      <c r="V194" s="3">
        <v>0</v>
      </c>
      <c r="W194" s="3">
        <v>1</v>
      </c>
      <c r="X194" s="3">
        <v>0</v>
      </c>
      <c r="Y194" s="3">
        <v>1</v>
      </c>
      <c r="Z194" s="3">
        <v>0</v>
      </c>
      <c r="AA194" s="3">
        <v>1</v>
      </c>
      <c r="AB194" s="3">
        <v>1</v>
      </c>
      <c r="AC194" s="3">
        <v>1</v>
      </c>
      <c r="AD194" s="3">
        <v>1</v>
      </c>
      <c r="AE194" s="3">
        <v>0</v>
      </c>
      <c r="AF194" s="3">
        <v>0</v>
      </c>
      <c r="AG194" s="3">
        <v>0</v>
      </c>
      <c r="AH194" s="3">
        <v>1</v>
      </c>
      <c r="AI194" s="3">
        <v>2</v>
      </c>
      <c r="AJ194" s="3">
        <v>0</v>
      </c>
      <c r="AK194" s="3">
        <v>1</v>
      </c>
      <c r="AL194" s="3">
        <v>0</v>
      </c>
      <c r="AM194" s="3">
        <v>0</v>
      </c>
      <c r="AN194" s="3">
        <v>1</v>
      </c>
      <c r="AO194" s="3">
        <v>0</v>
      </c>
      <c r="AP194" s="3">
        <v>0</v>
      </c>
      <c r="AQ194" s="3">
        <v>1</v>
      </c>
      <c r="AR194" s="3">
        <v>1</v>
      </c>
      <c r="AS194" s="3">
        <v>1</v>
      </c>
      <c r="AT194" s="3">
        <v>8</v>
      </c>
      <c r="AU194" s="3">
        <v>9</v>
      </c>
      <c r="AV194" s="3">
        <v>21</v>
      </c>
      <c r="AW194" s="3">
        <v>17</v>
      </c>
      <c r="AX194" s="3">
        <v>24</v>
      </c>
      <c r="AY194" s="3">
        <v>13</v>
      </c>
      <c r="AZ194" s="3">
        <v>7</v>
      </c>
      <c r="BA194" s="3">
        <v>0</v>
      </c>
      <c r="BB194" s="3">
        <v>0</v>
      </c>
      <c r="BC194" s="3">
        <v>2</v>
      </c>
    </row>
    <row r="195" spans="1:56" ht="16.5" customHeight="1">
      <c r="A195" s="1" t="s">
        <v>72</v>
      </c>
      <c r="B195" s="1">
        <v>2022</v>
      </c>
      <c r="C195" s="1">
        <v>117</v>
      </c>
      <c r="D195" s="1">
        <v>1</v>
      </c>
      <c r="E195" s="1">
        <v>2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1</v>
      </c>
      <c r="Q195" s="1">
        <v>0</v>
      </c>
      <c r="R195" s="1">
        <v>1</v>
      </c>
      <c r="S195" s="1">
        <v>1</v>
      </c>
      <c r="T195" s="1">
        <v>0</v>
      </c>
      <c r="U195" s="1">
        <v>1</v>
      </c>
      <c r="V195" s="1">
        <v>0</v>
      </c>
      <c r="W195" s="1">
        <v>0</v>
      </c>
      <c r="X195" s="1">
        <v>0</v>
      </c>
      <c r="Y195" s="1">
        <v>0</v>
      </c>
      <c r="Z195" s="1">
        <v>1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1</v>
      </c>
      <c r="AM195" s="1">
        <v>0</v>
      </c>
      <c r="AN195" s="1">
        <v>0</v>
      </c>
      <c r="AO195" s="1">
        <v>1</v>
      </c>
      <c r="AP195" s="1">
        <v>0</v>
      </c>
      <c r="AQ195" s="1">
        <v>0</v>
      </c>
      <c r="AR195" s="1">
        <v>0</v>
      </c>
      <c r="AS195" s="1">
        <v>4</v>
      </c>
      <c r="AT195" s="1">
        <v>17</v>
      </c>
      <c r="AU195" s="1">
        <v>16</v>
      </c>
      <c r="AV195" s="1">
        <v>29</v>
      </c>
      <c r="AW195" s="1">
        <v>14</v>
      </c>
      <c r="AX195" s="1">
        <v>11</v>
      </c>
      <c r="AY195" s="1">
        <v>10</v>
      </c>
      <c r="AZ195" s="1">
        <v>2</v>
      </c>
      <c r="BA195" s="1">
        <v>1</v>
      </c>
      <c r="BB195" s="1">
        <v>2</v>
      </c>
      <c r="BC195" s="1">
        <v>0</v>
      </c>
    </row>
    <row r="196" spans="1:56" ht="16.5" customHeight="1">
      <c r="A196" s="1" t="s">
        <v>72</v>
      </c>
      <c r="B196" s="1">
        <v>2023</v>
      </c>
      <c r="C196" s="1">
        <v>119</v>
      </c>
      <c r="D196" s="1">
        <v>0</v>
      </c>
      <c r="E196" s="1">
        <v>1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2</v>
      </c>
      <c r="T196" s="1">
        <v>0</v>
      </c>
      <c r="U196" s="1">
        <v>0</v>
      </c>
      <c r="V196" s="1">
        <v>0</v>
      </c>
      <c r="W196" s="1">
        <v>1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1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1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3</v>
      </c>
      <c r="AS196" s="1">
        <v>4</v>
      </c>
      <c r="AT196" s="1">
        <v>14</v>
      </c>
      <c r="AU196" s="1">
        <v>24</v>
      </c>
      <c r="AV196" s="1">
        <v>18</v>
      </c>
      <c r="AW196" s="1">
        <v>23</v>
      </c>
      <c r="AX196" s="1">
        <v>19</v>
      </c>
      <c r="AY196" s="1">
        <v>6</v>
      </c>
      <c r="AZ196" s="1">
        <v>0</v>
      </c>
      <c r="BA196" s="1">
        <v>1</v>
      </c>
      <c r="BB196" s="1">
        <v>0</v>
      </c>
      <c r="BC196" s="1">
        <v>1</v>
      </c>
    </row>
    <row r="197" spans="1:56" ht="16.5" customHeight="1">
      <c r="A197" s="1" t="s">
        <v>72</v>
      </c>
      <c r="B197" s="1">
        <v>2024</v>
      </c>
      <c r="C197" s="1">
        <v>166</v>
      </c>
      <c r="D197" s="1">
        <v>0</v>
      </c>
      <c r="E197" s="1">
        <v>0</v>
      </c>
      <c r="F197" s="1">
        <v>1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1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1</v>
      </c>
      <c r="T197" s="1">
        <v>1</v>
      </c>
      <c r="U197" s="1">
        <v>2</v>
      </c>
      <c r="V197" s="1">
        <v>0</v>
      </c>
      <c r="W197" s="1">
        <v>2</v>
      </c>
      <c r="X197" s="1">
        <v>2</v>
      </c>
      <c r="Y197" s="1">
        <v>1</v>
      </c>
      <c r="Z197" s="1">
        <v>1</v>
      </c>
      <c r="AA197" s="1">
        <v>0</v>
      </c>
      <c r="AB197" s="1">
        <v>0</v>
      </c>
      <c r="AC197" s="1">
        <v>1</v>
      </c>
      <c r="AD197" s="1">
        <v>4</v>
      </c>
      <c r="AE197" s="1">
        <v>2</v>
      </c>
      <c r="AF197" s="1">
        <v>4</v>
      </c>
      <c r="AG197" s="1">
        <v>1</v>
      </c>
      <c r="AH197" s="1">
        <v>0</v>
      </c>
      <c r="AI197" s="1">
        <v>1</v>
      </c>
      <c r="AJ197" s="1">
        <v>1</v>
      </c>
      <c r="AK197" s="1">
        <v>0</v>
      </c>
      <c r="AL197" s="1">
        <v>1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2</v>
      </c>
      <c r="AT197" s="1">
        <v>7</v>
      </c>
      <c r="AU197" s="1">
        <v>16</v>
      </c>
      <c r="AV197" s="1">
        <v>16</v>
      </c>
      <c r="AW197" s="1">
        <v>31</v>
      </c>
      <c r="AX197" s="1">
        <v>30</v>
      </c>
      <c r="AY197" s="1">
        <v>22</v>
      </c>
      <c r="AZ197" s="1">
        <v>10</v>
      </c>
      <c r="BA197" s="1">
        <v>4</v>
      </c>
      <c r="BB197" s="1">
        <v>1</v>
      </c>
      <c r="BC197" s="1">
        <v>0</v>
      </c>
    </row>
    <row r="198" spans="1:56" ht="16.5" customHeight="1">
      <c r="A198" s="1" t="s">
        <v>72</v>
      </c>
      <c r="B198" s="1">
        <v>2025</v>
      </c>
      <c r="C198" s="1">
        <v>125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1</v>
      </c>
      <c r="W198" s="1">
        <v>2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2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1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4</v>
      </c>
      <c r="AU198" s="1">
        <v>4</v>
      </c>
      <c r="AV198" s="1">
        <v>14</v>
      </c>
      <c r="AW198" s="1">
        <v>31</v>
      </c>
      <c r="AX198" s="1">
        <v>35</v>
      </c>
      <c r="AY198" s="1">
        <v>19</v>
      </c>
      <c r="AZ198" s="1">
        <v>8</v>
      </c>
      <c r="BA198" s="1">
        <v>2</v>
      </c>
      <c r="BB198" s="1">
        <v>1</v>
      </c>
      <c r="BC198" s="1">
        <v>1</v>
      </c>
    </row>
    <row r="199" spans="1:56" ht="16.5" customHeight="1">
      <c r="A199" s="2" t="s">
        <v>2</v>
      </c>
      <c r="B199" s="2"/>
      <c r="C199" s="2">
        <f t="shared" ref="C199:AH199" si="34">SUM(C189:C198)</f>
        <v>1484</v>
      </c>
      <c r="D199" s="2">
        <f t="shared" si="34"/>
        <v>5</v>
      </c>
      <c r="E199" s="2">
        <f t="shared" si="34"/>
        <v>5</v>
      </c>
      <c r="F199" s="2">
        <f t="shared" si="34"/>
        <v>3</v>
      </c>
      <c r="G199" s="2">
        <f t="shared" si="34"/>
        <v>1</v>
      </c>
      <c r="H199" s="2">
        <f t="shared" si="34"/>
        <v>2</v>
      </c>
      <c r="I199" s="2">
        <f t="shared" si="34"/>
        <v>1</v>
      </c>
      <c r="J199" s="2">
        <f t="shared" si="34"/>
        <v>0</v>
      </c>
      <c r="K199" s="2">
        <f t="shared" si="34"/>
        <v>1</v>
      </c>
      <c r="L199" s="2">
        <f t="shared" si="34"/>
        <v>0</v>
      </c>
      <c r="M199" s="2">
        <f t="shared" si="34"/>
        <v>3</v>
      </c>
      <c r="N199" s="2">
        <f t="shared" si="34"/>
        <v>0</v>
      </c>
      <c r="O199" s="2">
        <f t="shared" si="34"/>
        <v>0</v>
      </c>
      <c r="P199" s="2">
        <f t="shared" si="34"/>
        <v>3</v>
      </c>
      <c r="Q199" s="2">
        <f t="shared" si="34"/>
        <v>4</v>
      </c>
      <c r="R199" s="2">
        <f t="shared" si="34"/>
        <v>3</v>
      </c>
      <c r="S199" s="2">
        <f t="shared" si="34"/>
        <v>8</v>
      </c>
      <c r="T199" s="2">
        <f t="shared" si="34"/>
        <v>2</v>
      </c>
      <c r="U199" s="2">
        <f t="shared" si="34"/>
        <v>5</v>
      </c>
      <c r="V199" s="2">
        <f t="shared" si="34"/>
        <v>2</v>
      </c>
      <c r="W199" s="2">
        <f t="shared" si="34"/>
        <v>9</v>
      </c>
      <c r="X199" s="2">
        <f t="shared" si="34"/>
        <v>9</v>
      </c>
      <c r="Y199" s="2">
        <f t="shared" si="34"/>
        <v>6</v>
      </c>
      <c r="Z199" s="2">
        <f t="shared" si="34"/>
        <v>7</v>
      </c>
      <c r="AA199" s="2">
        <f t="shared" si="34"/>
        <v>5</v>
      </c>
      <c r="AB199" s="2">
        <f t="shared" si="34"/>
        <v>3</v>
      </c>
      <c r="AC199" s="2">
        <f t="shared" si="34"/>
        <v>8</v>
      </c>
      <c r="AD199" s="2">
        <f t="shared" si="34"/>
        <v>11</v>
      </c>
      <c r="AE199" s="2">
        <f t="shared" si="34"/>
        <v>4</v>
      </c>
      <c r="AF199" s="2">
        <f t="shared" si="34"/>
        <v>6</v>
      </c>
      <c r="AG199" s="2">
        <f t="shared" si="34"/>
        <v>3</v>
      </c>
      <c r="AH199" s="2">
        <f t="shared" si="34"/>
        <v>5</v>
      </c>
      <c r="AI199" s="2">
        <f t="shared" ref="AI199:BD199" si="35">SUM(AI189:AI198)</f>
        <v>5</v>
      </c>
      <c r="AJ199" s="2">
        <f t="shared" si="35"/>
        <v>4</v>
      </c>
      <c r="AK199" s="2">
        <f t="shared" si="35"/>
        <v>5</v>
      </c>
      <c r="AL199" s="2">
        <f t="shared" si="35"/>
        <v>4</v>
      </c>
      <c r="AM199" s="2">
        <f t="shared" si="35"/>
        <v>3</v>
      </c>
      <c r="AN199" s="2">
        <f t="shared" si="35"/>
        <v>4</v>
      </c>
      <c r="AO199" s="2">
        <f t="shared" si="35"/>
        <v>10</v>
      </c>
      <c r="AP199" s="2">
        <f t="shared" si="35"/>
        <v>6</v>
      </c>
      <c r="AQ199" s="2">
        <f t="shared" si="35"/>
        <v>8</v>
      </c>
      <c r="AR199" s="2">
        <f t="shared" si="35"/>
        <v>25</v>
      </c>
      <c r="AS199" s="2">
        <f t="shared" si="35"/>
        <v>53</v>
      </c>
      <c r="AT199" s="2">
        <f t="shared" si="35"/>
        <v>159</v>
      </c>
      <c r="AU199" s="2">
        <f t="shared" si="35"/>
        <v>183</v>
      </c>
      <c r="AV199" s="2">
        <f t="shared" si="35"/>
        <v>286</v>
      </c>
      <c r="AW199" s="2">
        <f t="shared" si="35"/>
        <v>256</v>
      </c>
      <c r="AX199" s="2">
        <f t="shared" si="35"/>
        <v>174</v>
      </c>
      <c r="AY199" s="2">
        <f t="shared" si="35"/>
        <v>98</v>
      </c>
      <c r="AZ199" s="2">
        <f t="shared" si="35"/>
        <v>45</v>
      </c>
      <c r="BA199" s="2">
        <f t="shared" si="35"/>
        <v>12</v>
      </c>
      <c r="BB199" s="2">
        <f t="shared" si="35"/>
        <v>9</v>
      </c>
      <c r="BC199" s="2">
        <f t="shared" si="35"/>
        <v>7</v>
      </c>
      <c r="BD199" s="2">
        <f t="shared" si="35"/>
        <v>3</v>
      </c>
    </row>
    <row r="200" spans="1:56" ht="16.5" customHeight="1"/>
    <row r="201" spans="1:56" ht="16.5" customHeight="1"/>
    <row r="202" spans="1:56" ht="16.5" customHeight="1"/>
    <row r="203" spans="1:56" ht="16.5" customHeight="1"/>
    <row r="204" spans="1:56" ht="16.5" customHeight="1"/>
    <row r="205" spans="1:56" ht="16.5" customHeight="1"/>
    <row r="206" spans="1:56" ht="16.5" customHeight="1"/>
    <row r="207" spans="1:56" ht="16.5" customHeight="1"/>
    <row r="208" spans="1:56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honeticPr fontId="4" type="noConversion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merged_zzzzgamusi_data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human</dc:creator>
  <cp:lastModifiedBy>human</cp:lastModifiedBy>
  <dcterms:created xsi:type="dcterms:W3CDTF">2026-05-19T05:20:02Z</dcterms:created>
  <dcterms:modified xsi:type="dcterms:W3CDTF">2026-05-20T06:11:49Z</dcterms:modified>
</cp:coreProperties>
</file>